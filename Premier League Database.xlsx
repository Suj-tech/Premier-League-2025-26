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rjahn\Downloads\Premier League\"/>
    </mc:Choice>
  </mc:AlternateContent>
  <xr:revisionPtr revIDLastSave="0" documentId="13_ncr:1_{E7FC4131-481E-4EE0-ABD2-116B166A4D07}" xr6:coauthVersionLast="47" xr6:coauthVersionMax="47" xr10:uidLastSave="{00000000-0000-0000-0000-000000000000}"/>
  <bookViews>
    <workbookView xWindow="-110" yWindow="-110" windowWidth="19420" windowHeight="10300" firstSheet="1" activeTab="5" xr2:uid="{32A18C9A-8898-42EE-898C-7AFBB5CD5ECE}"/>
  </bookViews>
  <sheets>
    <sheet name="Player details" sheetId="2" r:id="rId1"/>
    <sheet name="Teams" sheetId="3" r:id="rId2"/>
    <sheet name="Player performances" sheetId="1" r:id="rId3"/>
    <sheet name="Team performances" sheetId="4" r:id="rId4"/>
    <sheet name="Gameweek positions" sheetId="5" r:id="rId5"/>
    <sheet name="Fixtures" sheetId="6" r:id="rId6"/>
  </sheets>
  <definedNames>
    <definedName name="_xlnm._FilterDatabase" localSheetId="5" hidden="1">Fixtures!$A$1:$S$81</definedName>
    <definedName name="_xlnm._FilterDatabase" localSheetId="4" hidden="1">'Gameweek positions'!$A$1:$E$181</definedName>
    <definedName name="_xlnm._FilterDatabase" localSheetId="0" hidden="1">'Player details'!$A$1:$H$525</definedName>
    <definedName name="_xlnm._FilterDatabase" localSheetId="2" hidden="1">'Player performances'!$A$1:$AB$525</definedName>
    <definedName name="_xlnm._FilterDatabase" localSheetId="3" hidden="1">'Team performances'!$A$1:$O$21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4" l="1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A503" i="2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A476" i="2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A451" i="2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A425" i="2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A396" i="2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A372" i="2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A348" i="2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A318" i="2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A293" i="2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A267" i="2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A242" i="2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A215" i="2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A188" i="2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A160" i="2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A135" i="2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A111" i="2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A86" i="2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A58" i="2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A29" i="2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H2" i="2"/>
  <c r="A135" i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86" i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58" i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503" i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476" i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451" i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25" i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396" i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372" i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48" i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18" i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293" i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267" i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42" i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15" i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188" i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160" i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</calcChain>
</file>

<file path=xl/sharedStrings.xml><?xml version="1.0" encoding="utf-8"?>
<sst xmlns="http://schemas.openxmlformats.org/spreadsheetml/2006/main" count="3939" uniqueCount="1209">
  <si>
    <t>Player</t>
  </si>
  <si>
    <t>Nation</t>
  </si>
  <si>
    <t>Age</t>
  </si>
  <si>
    <t>Starts</t>
  </si>
  <si>
    <t>90s</t>
  </si>
  <si>
    <t>xG</t>
  </si>
  <si>
    <t>npxG</t>
  </si>
  <si>
    <t>xAG</t>
  </si>
  <si>
    <t>PrgR</t>
  </si>
  <si>
    <t>Gabriel Magalhães</t>
  </si>
  <si>
    <t>David Raya</t>
  </si>
  <si>
    <t>Viktor Gyökeres</t>
  </si>
  <si>
    <t>27-126</t>
  </si>
  <si>
    <t>Riccardo Calafiori</t>
  </si>
  <si>
    <t>23-142</t>
  </si>
  <si>
    <t>Martín Zubimendi</t>
  </si>
  <si>
    <t>26-248</t>
  </si>
  <si>
    <t>Declan Rice</t>
  </si>
  <si>
    <t>26-267</t>
  </si>
  <si>
    <t>Jurriën Timber</t>
  </si>
  <si>
    <t>24-113</t>
  </si>
  <si>
    <t>William Saliba</t>
  </si>
  <si>
    <t>24-198</t>
  </si>
  <si>
    <t>Bukayo Saka</t>
  </si>
  <si>
    <t>24-033</t>
  </si>
  <si>
    <t>Noni Madueke</t>
  </si>
  <si>
    <t>23-212</t>
  </si>
  <si>
    <t>Martin Ødegaard</t>
  </si>
  <si>
    <t>26-295</t>
  </si>
  <si>
    <t>Eberechi Eze</t>
  </si>
  <si>
    <t>27-101</t>
  </si>
  <si>
    <t>Leandro Trossard</t>
  </si>
  <si>
    <t>30-308</t>
  </si>
  <si>
    <t>Mikel Merino</t>
  </si>
  <si>
    <t>29-108</t>
  </si>
  <si>
    <t>Cristhian Mosquera</t>
  </si>
  <si>
    <t>21-103</t>
  </si>
  <si>
    <t>Gabriel Martinelli</t>
  </si>
  <si>
    <t>24-112</t>
  </si>
  <si>
    <t>Ben White</t>
  </si>
  <si>
    <t>28-000</t>
  </si>
  <si>
    <t>Ethan Nwaneri</t>
  </si>
  <si>
    <t>18-201</t>
  </si>
  <si>
    <t>Myles Lewis-Skelly</t>
  </si>
  <si>
    <t>19-012</t>
  </si>
  <si>
    <t>Kai Havertz</t>
  </si>
  <si>
    <t>26-119</t>
  </si>
  <si>
    <t>Max Dowman</t>
  </si>
  <si>
    <t>15-281</t>
  </si>
  <si>
    <t>Andre Annous</t>
  </si>
  <si>
    <t>17-285</t>
  </si>
  <si>
    <t>Kepa Arrizabalaga</t>
  </si>
  <si>
    <t>31-005</t>
  </si>
  <si>
    <t>Piero Hincapié</t>
  </si>
  <si>
    <t>23-272</t>
  </si>
  <si>
    <t>Jakub Kiwior</t>
  </si>
  <si>
    <t>25-235</t>
  </si>
  <si>
    <t>Christian Nørgaard</t>
  </si>
  <si>
    <t>31-212</t>
  </si>
  <si>
    <t>Position</t>
  </si>
  <si>
    <t>Defender</t>
  </si>
  <si>
    <t>Arsenal</t>
  </si>
  <si>
    <t>Matches played</t>
  </si>
  <si>
    <t>Minutes</t>
  </si>
  <si>
    <t>Goals</t>
  </si>
  <si>
    <t>Assist</t>
  </si>
  <si>
    <t>Penalties</t>
  </si>
  <si>
    <t>Yellow card</t>
  </si>
  <si>
    <t>Penalties Attempted</t>
  </si>
  <si>
    <t>Red card</t>
  </si>
  <si>
    <t>Morgan Rogers</t>
  </si>
  <si>
    <t>23-074</t>
  </si>
  <si>
    <t>Matty Cash</t>
  </si>
  <si>
    <t>28-062</t>
  </si>
  <si>
    <t>Ollie Watkins</t>
  </si>
  <si>
    <t>29-282</t>
  </si>
  <si>
    <t>John McGinn</t>
  </si>
  <si>
    <t>30-355</t>
  </si>
  <si>
    <t>Ezri Konsa</t>
  </si>
  <si>
    <t>27-350</t>
  </si>
  <si>
    <t>Lucas Digne</t>
  </si>
  <si>
    <t>32-080</t>
  </si>
  <si>
    <t>Tyrone Mings</t>
  </si>
  <si>
    <t>32-209</t>
  </si>
  <si>
    <t>Emiliano Martínez</t>
  </si>
  <si>
    <t>33-036</t>
  </si>
  <si>
    <t>Youri Tielemans</t>
  </si>
  <si>
    <t>28-154</t>
  </si>
  <si>
    <t>Boubacar Kamara</t>
  </si>
  <si>
    <t>25-319</t>
  </si>
  <si>
    <t>Evann Guessand</t>
  </si>
  <si>
    <t>24-099</t>
  </si>
  <si>
    <t>Lamare Bogarde</t>
  </si>
  <si>
    <t>21-276</t>
  </si>
  <si>
    <t>Emi Buendía</t>
  </si>
  <si>
    <t>28-287</t>
  </si>
  <si>
    <t>Pau Torres</t>
  </si>
  <si>
    <t>28-265</t>
  </si>
  <si>
    <t>Donyell Malen</t>
  </si>
  <si>
    <t>26-272</t>
  </si>
  <si>
    <t>Marco Bizot</t>
  </si>
  <si>
    <t>34-212</t>
  </si>
  <si>
    <t>Amadou Onana</t>
  </si>
  <si>
    <t>24-053</t>
  </si>
  <si>
    <t>Ian Maatsen</t>
  </si>
  <si>
    <t>Harvey Elliott</t>
  </si>
  <si>
    <t>22-187</t>
  </si>
  <si>
    <t>Victor Lindelöf</t>
  </si>
  <si>
    <t>31-083</t>
  </si>
  <si>
    <t>Bradley Paul Burrowes</t>
  </si>
  <si>
    <t>17-218</t>
  </si>
  <si>
    <t>Jadon Sancho</t>
  </si>
  <si>
    <t>25-197</t>
  </si>
  <si>
    <t>Ross Barkley</t>
  </si>
  <si>
    <t>31-307</t>
  </si>
  <si>
    <t>Samuel Iling-Junior</t>
  </si>
  <si>
    <t>22-004</t>
  </si>
  <si>
    <t>Jamaldeen Jimoh</t>
  </si>
  <si>
    <t>19-006</t>
  </si>
  <si>
    <t>Travis Patterson</t>
  </si>
  <si>
    <t>20-002</t>
  </si>
  <si>
    <t>Sam Proctor</t>
  </si>
  <si>
    <t>18-291</t>
  </si>
  <si>
    <t>Triston Rowe</t>
  </si>
  <si>
    <t>19-143</t>
  </si>
  <si>
    <t>James Wright</t>
  </si>
  <si>
    <t>Aston Villa</t>
  </si>
  <si>
    <t>Đorđe Petrović</t>
  </si>
  <si>
    <t>26-000</t>
  </si>
  <si>
    <t>Antoine Semenyo</t>
  </si>
  <si>
    <t>25-274</t>
  </si>
  <si>
    <t>Adrien Truffert</t>
  </si>
  <si>
    <t>23-322</t>
  </si>
  <si>
    <t>Marcos Senesi</t>
  </si>
  <si>
    <t>28-151</t>
  </si>
  <si>
    <t>Evanilson</t>
  </si>
  <si>
    <t>26-002</t>
  </si>
  <si>
    <t>Tyler Adams</t>
  </si>
  <si>
    <t>26-236</t>
  </si>
  <si>
    <t>Bafodé Diakité</t>
  </si>
  <si>
    <t>24-275</t>
  </si>
  <si>
    <t>Marcus Tavernier</t>
  </si>
  <si>
    <t>26-200</t>
  </si>
  <si>
    <t>David Brooks</t>
  </si>
  <si>
    <t>28-092</t>
  </si>
  <si>
    <t>Alex Scott</t>
  </si>
  <si>
    <t>22-048</t>
  </si>
  <si>
    <t>Adam Smith</t>
  </si>
  <si>
    <t>34-162</t>
  </si>
  <si>
    <t>James Hill</t>
  </si>
  <si>
    <t>23-271</t>
  </si>
  <si>
    <t>Álex Jiménez</t>
  </si>
  <si>
    <t>20-153</t>
  </si>
  <si>
    <t>Justin Kluivert</t>
  </si>
  <si>
    <t>26-156</t>
  </si>
  <si>
    <t>Ryan Christie</t>
  </si>
  <si>
    <t>30-228</t>
  </si>
  <si>
    <t>Amine Adli</t>
  </si>
  <si>
    <t>25-151</t>
  </si>
  <si>
    <t>Veljko Milosavljević</t>
  </si>
  <si>
    <t>18-102</t>
  </si>
  <si>
    <t>Ben Gannon-Doak</t>
  </si>
  <si>
    <t>19-331</t>
  </si>
  <si>
    <t>Eli Junior Kroupi</t>
  </si>
  <si>
    <t>19-107</t>
  </si>
  <si>
    <t>Hamed Junior Traorè</t>
  </si>
  <si>
    <t>25-234</t>
  </si>
  <si>
    <t>Ben Winterburn</t>
  </si>
  <si>
    <t>21-034</t>
  </si>
  <si>
    <t>Lewis Cook</t>
  </si>
  <si>
    <t>28-247</t>
  </si>
  <si>
    <t>Julio Soler</t>
  </si>
  <si>
    <t>20-234</t>
  </si>
  <si>
    <t>Julian Araujo</t>
  </si>
  <si>
    <t>24-056</t>
  </si>
  <si>
    <t>Philip Billing</t>
  </si>
  <si>
    <t>29-119</t>
  </si>
  <si>
    <t>Will Dennis</t>
  </si>
  <si>
    <t>25-090</t>
  </si>
  <si>
    <t>Romain Faivre</t>
  </si>
  <si>
    <t>27-086</t>
  </si>
  <si>
    <t>Remy Rees-Dottin</t>
  </si>
  <si>
    <t>19-216</t>
  </si>
  <si>
    <t>Bournmouth</t>
  </si>
  <si>
    <t>Nathan Collins</t>
  </si>
  <si>
    <t>24-161</t>
  </si>
  <si>
    <t>Sepp van den Berg</t>
  </si>
  <si>
    <t>23-292</t>
  </si>
  <si>
    <t>Caoimhín Kelleher</t>
  </si>
  <si>
    <t>26-319</t>
  </si>
  <si>
    <t>Michael Kayode</t>
  </si>
  <si>
    <t>21-090</t>
  </si>
  <si>
    <t>Yehor Yarmoliuk</t>
  </si>
  <si>
    <t>21-221</t>
  </si>
  <si>
    <t>Thiago</t>
  </si>
  <si>
    <t>24-104</t>
  </si>
  <si>
    <t>Kevin Schade</t>
  </si>
  <si>
    <t>23-315</t>
  </si>
  <si>
    <t>Jordan Henderson</t>
  </si>
  <si>
    <t>35-113</t>
  </si>
  <si>
    <t>Mikkel Damsgaard</t>
  </si>
  <si>
    <t>25-097</t>
  </si>
  <si>
    <t>Keane Lewis-Potter</t>
  </si>
  <si>
    <t>24-228</t>
  </si>
  <si>
    <t>Dango Ouattara</t>
  </si>
  <si>
    <t>23-239</t>
  </si>
  <si>
    <t>Aaron Hickey</t>
  </si>
  <si>
    <t>23-120</t>
  </si>
  <si>
    <t>Mathias Jensen</t>
  </si>
  <si>
    <t>29-280</t>
  </si>
  <si>
    <t>Ethan Pinnock</t>
  </si>
  <si>
    <t>32-132</t>
  </si>
  <si>
    <t>Rico Henry</t>
  </si>
  <si>
    <t>Kristoffer Ajer</t>
  </si>
  <si>
    <t>27-174</t>
  </si>
  <si>
    <t>Fabio Carvalho</t>
  </si>
  <si>
    <t>23-039</t>
  </si>
  <si>
    <t>Antoni Milambo</t>
  </si>
  <si>
    <t>20-188</t>
  </si>
  <si>
    <t>Frank Onyeka</t>
  </si>
  <si>
    <t>27-280</t>
  </si>
  <si>
    <t>Vitaly Janelt</t>
  </si>
  <si>
    <t>27-151</t>
  </si>
  <si>
    <t>Benjamin Arthur</t>
  </si>
  <si>
    <t>19-364</t>
  </si>
  <si>
    <t>Reiss Nelson</t>
  </si>
  <si>
    <t>25-302</t>
  </si>
  <si>
    <t>Myles Peart-Harris</t>
  </si>
  <si>
    <t>23-020</t>
  </si>
  <si>
    <t>Mads Roerslev</t>
  </si>
  <si>
    <t>26-106</t>
  </si>
  <si>
    <t>Hákon Valdimarsson</t>
  </si>
  <si>
    <t>Brentford</t>
  </si>
  <si>
    <t>Lewis Dunk</t>
  </si>
  <si>
    <t>33-323</t>
  </si>
  <si>
    <t>Jan Paul van Hecke</t>
  </si>
  <si>
    <t>25-124</t>
  </si>
  <si>
    <t>Bart Verbruggen</t>
  </si>
  <si>
    <t>23-053</t>
  </si>
  <si>
    <t>Yankuba Minteh</t>
  </si>
  <si>
    <t>21-080</t>
  </si>
  <si>
    <t>Kaoru Mitoma</t>
  </si>
  <si>
    <t>28-143</t>
  </si>
  <si>
    <t>Carlos Baleba</t>
  </si>
  <si>
    <t>21-280</t>
  </si>
  <si>
    <t>Yasin Ayari</t>
  </si>
  <si>
    <t>Danny Welbeck</t>
  </si>
  <si>
    <t>34-318</t>
  </si>
  <si>
    <t>Georginio Rutter</t>
  </si>
  <si>
    <t>23-173</t>
  </si>
  <si>
    <t>Joël Veltman</t>
  </si>
  <si>
    <t>33-268</t>
  </si>
  <si>
    <t>Maxim De Cuyper</t>
  </si>
  <si>
    <t>24-292</t>
  </si>
  <si>
    <t>Ferdi Kadioglu</t>
  </si>
  <si>
    <t>26-003</t>
  </si>
  <si>
    <t>Diego Gómez</t>
  </si>
  <si>
    <t>22-197</t>
  </si>
  <si>
    <t>Mats Wieffer</t>
  </si>
  <si>
    <t>25-328</t>
  </si>
  <si>
    <t>Brajan Gruda</t>
  </si>
  <si>
    <t>21-132</t>
  </si>
  <si>
    <t>Matt O'Riley</t>
  </si>
  <si>
    <t>24-323</t>
  </si>
  <si>
    <t>Jack Hinshelwood</t>
  </si>
  <si>
    <t>20-182</t>
  </si>
  <si>
    <t>James Milner</t>
  </si>
  <si>
    <t>39-279</t>
  </si>
  <si>
    <t>Stefanos Tzimas</t>
  </si>
  <si>
    <t>19-277</t>
  </si>
  <si>
    <t>Diego Coppola</t>
  </si>
  <si>
    <t>21-286</t>
  </si>
  <si>
    <t>Olivier Boscagli</t>
  </si>
  <si>
    <t>27-326</t>
  </si>
  <si>
    <t>Charalampos Kostoulas</t>
  </si>
  <si>
    <t>18-133</t>
  </si>
  <si>
    <t>Jason Steele</t>
  </si>
  <si>
    <t>35-053</t>
  </si>
  <si>
    <t>Tom Watson</t>
  </si>
  <si>
    <t>19-185</t>
  </si>
  <si>
    <t>Brighton</t>
  </si>
  <si>
    <t>Martin Dúbravka</t>
  </si>
  <si>
    <t>36-268</t>
  </si>
  <si>
    <t>Kyle Walker</t>
  </si>
  <si>
    <t>35-135</t>
  </si>
  <si>
    <t>Quilindschy Hartman</t>
  </si>
  <si>
    <t>23-330</t>
  </si>
  <si>
    <t>Maxime Estève</t>
  </si>
  <si>
    <t>23-137</t>
  </si>
  <si>
    <t>Josh Cullen</t>
  </si>
  <si>
    <t>29-186</t>
  </si>
  <si>
    <t>Jaidon Anthony</t>
  </si>
  <si>
    <t>25-313</t>
  </si>
  <si>
    <t>Lyle Foster</t>
  </si>
  <si>
    <t>25-037</t>
  </si>
  <si>
    <t>Hjalmar Ekdal</t>
  </si>
  <si>
    <t>26-354</t>
  </si>
  <si>
    <t>Josh Laurent</t>
  </si>
  <si>
    <t>30-157</t>
  </si>
  <si>
    <t>Loum Tchaouna</t>
  </si>
  <si>
    <t>22-032</t>
  </si>
  <si>
    <t>Florentino Luís</t>
  </si>
  <si>
    <t>26-052</t>
  </si>
  <si>
    <t>Lesley Ugochukwu</t>
  </si>
  <si>
    <t>21-198</t>
  </si>
  <si>
    <t>Hannibal Mejbri</t>
  </si>
  <si>
    <t>22-262</t>
  </si>
  <si>
    <t>Jacob Bruun Larsen</t>
  </si>
  <si>
    <t>27-021</t>
  </si>
  <si>
    <t>Oliver Sonne</t>
  </si>
  <si>
    <t>24-334</t>
  </si>
  <si>
    <t>Axel Tuanzebe</t>
  </si>
  <si>
    <t>27-330</t>
  </si>
  <si>
    <t>Armando Broja</t>
  </si>
  <si>
    <t>24-030</t>
  </si>
  <si>
    <t>Zian Flemming</t>
  </si>
  <si>
    <t>27-070</t>
  </si>
  <si>
    <t>Joe Worrall</t>
  </si>
  <si>
    <t>28-273</t>
  </si>
  <si>
    <t>Marcus Edwards</t>
  </si>
  <si>
    <t>26-311</t>
  </si>
  <si>
    <t>Bashir Humphreys</t>
  </si>
  <si>
    <t>22-209</t>
  </si>
  <si>
    <t>Ashley Barnes</t>
  </si>
  <si>
    <t>35-345</t>
  </si>
  <si>
    <t>Lucas</t>
  </si>
  <si>
    <t>24-200</t>
  </si>
  <si>
    <t>Aaron Ramsey</t>
  </si>
  <si>
    <t>Max Weiß</t>
  </si>
  <si>
    <t>21-117</t>
  </si>
  <si>
    <t>Burnley</t>
  </si>
  <si>
    <t>Moisés Caicedo</t>
  </si>
  <si>
    <t>23-342</t>
  </si>
  <si>
    <t>Enzo Fernández</t>
  </si>
  <si>
    <t>24-266</t>
  </si>
  <si>
    <t>João Pedro</t>
  </si>
  <si>
    <t>24-014</t>
  </si>
  <si>
    <t>Robert Sánchez</t>
  </si>
  <si>
    <t>Pedro Neto</t>
  </si>
  <si>
    <t>25-215</t>
  </si>
  <si>
    <t>Marc Cucurella</t>
  </si>
  <si>
    <t>27-080</t>
  </si>
  <si>
    <t>Trevoh Chalobah</t>
  </si>
  <si>
    <t>26-097</t>
  </si>
  <si>
    <t>Reece James</t>
  </si>
  <si>
    <t>25-306</t>
  </si>
  <si>
    <t>Estêvão Willian</t>
  </si>
  <si>
    <t>18-169</t>
  </si>
  <si>
    <t>Tosin Adarabioyo</t>
  </si>
  <si>
    <t>28-016</t>
  </si>
  <si>
    <t>Malo Gusto</t>
  </si>
  <si>
    <t>22-144</t>
  </si>
  <si>
    <t>Joshua Acheampong</t>
  </si>
  <si>
    <t>19-158</t>
  </si>
  <si>
    <t>Jorrel Hato</t>
  </si>
  <si>
    <t>19-217</t>
  </si>
  <si>
    <t>Jamie Gittens</t>
  </si>
  <si>
    <t>21-063</t>
  </si>
  <si>
    <t>Cole Palmer</t>
  </si>
  <si>
    <t>23-157</t>
  </si>
  <si>
    <t>Wesley Fofana</t>
  </si>
  <si>
    <t>24-297</t>
  </si>
  <si>
    <t>Liam Delap</t>
  </si>
  <si>
    <t>22-244</t>
  </si>
  <si>
    <t>Andrey Santos</t>
  </si>
  <si>
    <t>21-160</t>
  </si>
  <si>
    <t>Alejandro Garnacho</t>
  </si>
  <si>
    <t>21-101</t>
  </si>
  <si>
    <t>Benoît Badiashile</t>
  </si>
  <si>
    <t>Facundo Buonanotte</t>
  </si>
  <si>
    <t>20-291</t>
  </si>
  <si>
    <t>Tyrique George</t>
  </si>
  <si>
    <t>19-248</t>
  </si>
  <si>
    <t>Filip Jørgensen</t>
  </si>
  <si>
    <t>23-177</t>
  </si>
  <si>
    <t>Roméo Lavia</t>
  </si>
  <si>
    <t>21-277</t>
  </si>
  <si>
    <t>Marc Guiu</t>
  </si>
  <si>
    <t>19-279</t>
  </si>
  <si>
    <t>Landon Emenalo</t>
  </si>
  <si>
    <t>17-265</t>
  </si>
  <si>
    <t>Dario Essugo</t>
  </si>
  <si>
    <t>20-210</t>
  </si>
  <si>
    <t>Gaga Slonina</t>
  </si>
  <si>
    <t>21-148</t>
  </si>
  <si>
    <t>Chelsea</t>
  </si>
  <si>
    <t>Marc Guéhi</t>
  </si>
  <si>
    <t>25-089</t>
  </si>
  <si>
    <t>Dean Henderson</t>
  </si>
  <si>
    <t>28-212</t>
  </si>
  <si>
    <t>Maxence Lacroix</t>
  </si>
  <si>
    <t>25-187</t>
  </si>
  <si>
    <t>Tyrick Mitchell</t>
  </si>
  <si>
    <t>26-039</t>
  </si>
  <si>
    <t>Daniel Muñoz</t>
  </si>
  <si>
    <t>29-137</t>
  </si>
  <si>
    <t>Chris Richards</t>
  </si>
  <si>
    <t>25-196</t>
  </si>
  <si>
    <t>Jean-Philippe Mateta</t>
  </si>
  <si>
    <t>28-104</t>
  </si>
  <si>
    <t>Adam Wharton</t>
  </si>
  <si>
    <t>21-246</t>
  </si>
  <si>
    <t>Daichi Kamada</t>
  </si>
  <si>
    <t>29-066</t>
  </si>
  <si>
    <t>Ismaila Sarr</t>
  </si>
  <si>
    <t>27-227</t>
  </si>
  <si>
    <t>Will Hughes</t>
  </si>
  <si>
    <t>30-176</t>
  </si>
  <si>
    <t>Yeremi Pino</t>
  </si>
  <si>
    <t>22-355</t>
  </si>
  <si>
    <t>Jefferson Lerma</t>
  </si>
  <si>
    <t>30-350</t>
  </si>
  <si>
    <t>Justin Devenny</t>
  </si>
  <si>
    <t>21-364</t>
  </si>
  <si>
    <t>27-103</t>
  </si>
  <si>
    <t>Eddie Nketiah</t>
  </si>
  <si>
    <t>26-133</t>
  </si>
  <si>
    <t>Romain Esse</t>
  </si>
  <si>
    <t>20-150</t>
  </si>
  <si>
    <t>Christantus Uche</t>
  </si>
  <si>
    <t>Nathaniel Clyne</t>
  </si>
  <si>
    <t>34-188</t>
  </si>
  <si>
    <t>Odsonne Édouard</t>
  </si>
  <si>
    <t>27-267</t>
  </si>
  <si>
    <t>Walter Benítez</t>
  </si>
  <si>
    <t>32-264</t>
  </si>
  <si>
    <t>Jaydee Canvot</t>
  </si>
  <si>
    <t>19-073</t>
  </si>
  <si>
    <t>Rio Cardines</t>
  </si>
  <si>
    <t>19-101</t>
  </si>
  <si>
    <t>Remi Matthews</t>
  </si>
  <si>
    <t>31-242</t>
  </si>
  <si>
    <t>Jesurun Rak Sakyi</t>
  </si>
  <si>
    <t>23-005</t>
  </si>
  <si>
    <t>Kaden Rodney</t>
  </si>
  <si>
    <t>21-003</t>
  </si>
  <si>
    <t>Borna Sosa</t>
  </si>
  <si>
    <t>27-262</t>
  </si>
  <si>
    <t>Crystal Palace</t>
  </si>
  <si>
    <t>James Garner</t>
  </si>
  <si>
    <t>24-211</t>
  </si>
  <si>
    <t>Jake O'Brien</t>
  </si>
  <si>
    <t>24-148</t>
  </si>
  <si>
    <t>Jordan Pickford</t>
  </si>
  <si>
    <t>31-217</t>
  </si>
  <si>
    <t>James Tarkowski</t>
  </si>
  <si>
    <t>32-325</t>
  </si>
  <si>
    <t>Idrissa Gana Gueye</t>
  </si>
  <si>
    <t>36-014</t>
  </si>
  <si>
    <t>Michael Keane</t>
  </si>
  <si>
    <t>32-272</t>
  </si>
  <si>
    <t>Iliman Ndiaye</t>
  </si>
  <si>
    <t>25-218</t>
  </si>
  <si>
    <t>Jack Grealish</t>
  </si>
  <si>
    <t>30-030</t>
  </si>
  <si>
    <t>Kiernan Dewsbury-Hall</t>
  </si>
  <si>
    <t>27-034</t>
  </si>
  <si>
    <t>Beto</t>
  </si>
  <si>
    <t>27-252</t>
  </si>
  <si>
    <t>Vitaliy Mykolenko</t>
  </si>
  <si>
    <t>26-134</t>
  </si>
  <si>
    <t>Tim Iroegbunam</t>
  </si>
  <si>
    <t>22-102</t>
  </si>
  <si>
    <t>Thierno Barry</t>
  </si>
  <si>
    <t>22-354</t>
  </si>
  <si>
    <t>Carlos Alcaraz</t>
  </si>
  <si>
    <t>22-314</t>
  </si>
  <si>
    <t>Tyler Dibling</t>
  </si>
  <si>
    <t>19-212</t>
  </si>
  <si>
    <t>Merlin Röhl</t>
  </si>
  <si>
    <t>23-097</t>
  </si>
  <si>
    <t>Dwight McNeil</t>
  </si>
  <si>
    <t>25-322</t>
  </si>
  <si>
    <t>Séamus Coleman</t>
  </si>
  <si>
    <t>36-364</t>
  </si>
  <si>
    <t>Harrison Armstrong</t>
  </si>
  <si>
    <t>18-264</t>
  </si>
  <si>
    <t>Adam Aznou</t>
  </si>
  <si>
    <t>19-130</t>
  </si>
  <si>
    <t>Elijah Campbell</t>
  </si>
  <si>
    <t>21-069</t>
  </si>
  <si>
    <t>Youssef Chermiti</t>
  </si>
  <si>
    <t>21-139</t>
  </si>
  <si>
    <t>Tom King</t>
  </si>
  <si>
    <t>30-215</t>
  </si>
  <si>
    <t>Tyler Onyango</t>
  </si>
  <si>
    <t>22-220</t>
  </si>
  <si>
    <t>Nathan Patterson</t>
  </si>
  <si>
    <t>23-359</t>
  </si>
  <si>
    <t>Mark Travers</t>
  </si>
  <si>
    <t>26-145</t>
  </si>
  <si>
    <t>Harry Tyrer</t>
  </si>
  <si>
    <t>23-308</t>
  </si>
  <si>
    <t>Everton</t>
  </si>
  <si>
    <t>Joachim Andersen</t>
  </si>
  <si>
    <t>29-132</t>
  </si>
  <si>
    <t>Calvin Bassey</t>
  </si>
  <si>
    <t>25-283</t>
  </si>
  <si>
    <t>Bernd Leno</t>
  </si>
  <si>
    <t>33-220</t>
  </si>
  <si>
    <t>Sander Berge</t>
  </si>
  <si>
    <t>27-238</t>
  </si>
  <si>
    <t>Saša Lukić</t>
  </si>
  <si>
    <t>29-058</t>
  </si>
  <si>
    <t>Alex Iwobi</t>
  </si>
  <si>
    <t>29-160</t>
  </si>
  <si>
    <t>Joshua King</t>
  </si>
  <si>
    <t>18-280</t>
  </si>
  <si>
    <t>Ryan Sessegnon</t>
  </si>
  <si>
    <t>25-145</t>
  </si>
  <si>
    <t>Kenny Tete</t>
  </si>
  <si>
    <t>30-001</t>
  </si>
  <si>
    <t>Harry Wilson</t>
  </si>
  <si>
    <t>28-202</t>
  </si>
  <si>
    <t>Rodrigo Muniz</t>
  </si>
  <si>
    <t>24-159</t>
  </si>
  <si>
    <t>Timothy Castagne</t>
  </si>
  <si>
    <t>29-309</t>
  </si>
  <si>
    <t>Raúl Jiménez</t>
  </si>
  <si>
    <t>34-158</t>
  </si>
  <si>
    <t>Jorge Cuenca</t>
  </si>
  <si>
    <t>25-327</t>
  </si>
  <si>
    <t>Issa Diop</t>
  </si>
  <si>
    <t>28-274</t>
  </si>
  <si>
    <t>Adama Traoré</t>
  </si>
  <si>
    <t>29-258</t>
  </si>
  <si>
    <t>Emile Smith Rowe</t>
  </si>
  <si>
    <t>25-074</t>
  </si>
  <si>
    <t>Tom Cairney</t>
  </si>
  <si>
    <t>34-263</t>
  </si>
  <si>
    <t>Kevin</t>
  </si>
  <si>
    <t>22-279</t>
  </si>
  <si>
    <t>Antonee Robinson</t>
  </si>
  <si>
    <t>28-063</t>
  </si>
  <si>
    <t>Samuel Chukwueze</t>
  </si>
  <si>
    <t>26-141</t>
  </si>
  <si>
    <t>Jonah Kusi-Asare</t>
  </si>
  <si>
    <t>18-098</t>
  </si>
  <si>
    <t>Benjamin Lecomte</t>
  </si>
  <si>
    <t>34-167</t>
  </si>
  <si>
    <t>Andreas Pereira</t>
  </si>
  <si>
    <t>Harrison Reed</t>
  </si>
  <si>
    <t>30-256</t>
  </si>
  <si>
    <t>Fulham</t>
  </si>
  <si>
    <t>Joe Rodon</t>
  </si>
  <si>
    <t>27-353</t>
  </si>
  <si>
    <t>Pascal Struijk</t>
  </si>
  <si>
    <t>26-060</t>
  </si>
  <si>
    <t>Jayden Bogle</t>
  </si>
  <si>
    <t>25-075</t>
  </si>
  <si>
    <t>Gabriel Gudmundsson</t>
  </si>
  <si>
    <t>26-164</t>
  </si>
  <si>
    <t>Anton Stach</t>
  </si>
  <si>
    <t>26-329</t>
  </si>
  <si>
    <t>Sean Longstaff</t>
  </si>
  <si>
    <t>27-345</t>
  </si>
  <si>
    <t>Ethan Ampadu</t>
  </si>
  <si>
    <t>25-026</t>
  </si>
  <si>
    <t>Brenden Aaronson</t>
  </si>
  <si>
    <t>24-353</t>
  </si>
  <si>
    <t>Karl Darlow</t>
  </si>
  <si>
    <t>35-002</t>
  </si>
  <si>
    <t>Dominic Calvert-Lewin</t>
  </si>
  <si>
    <t>28-208</t>
  </si>
  <si>
    <t>Noah Okafor</t>
  </si>
  <si>
    <t>25-139</t>
  </si>
  <si>
    <t>Lucas Perri</t>
  </si>
  <si>
    <t>27-304</t>
  </si>
  <si>
    <t>Daniel James</t>
  </si>
  <si>
    <t>27-334</t>
  </si>
  <si>
    <t>Wilfried Gnonto</t>
  </si>
  <si>
    <t>21-339</t>
  </si>
  <si>
    <t>Ilia Gruev</t>
  </si>
  <si>
    <t>25-157</t>
  </si>
  <si>
    <t>Ao Tanaka</t>
  </si>
  <si>
    <t>27-030</t>
  </si>
  <si>
    <t>Joël Piroe</t>
  </si>
  <si>
    <t>26-069</t>
  </si>
  <si>
    <t>Lukas Nmecha</t>
  </si>
  <si>
    <t>26-300</t>
  </si>
  <si>
    <t>Jack Harrison</t>
  </si>
  <si>
    <t>28-324</t>
  </si>
  <si>
    <t>James Justin</t>
  </si>
  <si>
    <t>27-229</t>
  </si>
  <si>
    <t>Sam Byram</t>
  </si>
  <si>
    <t>32-024</t>
  </si>
  <si>
    <t>Jaka Bijol</t>
  </si>
  <si>
    <t>26-247</t>
  </si>
  <si>
    <t>Sebastiaan Bornauw</t>
  </si>
  <si>
    <t>26-202</t>
  </si>
  <si>
    <t>Harry Gray</t>
  </si>
  <si>
    <t>17-002</t>
  </si>
  <si>
    <t>Illan Meslier</t>
  </si>
  <si>
    <t>25-222</t>
  </si>
  <si>
    <t>Largie Ramazani</t>
  </si>
  <si>
    <t>Leeds United</t>
  </si>
  <si>
    <t>Dominik Szoboszlai</t>
  </si>
  <si>
    <t>24-350</t>
  </si>
  <si>
    <t>Virgil van Dijk</t>
  </si>
  <si>
    <t>34-094</t>
  </si>
  <si>
    <t>Mohamed Salah</t>
  </si>
  <si>
    <t>33-117</t>
  </si>
  <si>
    <t>Ibrahima Konaté</t>
  </si>
  <si>
    <t>26-138</t>
  </si>
  <si>
    <t>Milos Kerkez</t>
  </si>
  <si>
    <t>21-337</t>
  </si>
  <si>
    <t>Cody Gakpo</t>
  </si>
  <si>
    <t>Alisson</t>
  </si>
  <si>
    <t>33-008</t>
  </si>
  <si>
    <t>Ryan Gravenberch</t>
  </si>
  <si>
    <t>23-147</t>
  </si>
  <si>
    <t>Alexis Mac Allister</t>
  </si>
  <si>
    <t>26-290</t>
  </si>
  <si>
    <t>Florian Wirtz</t>
  </si>
  <si>
    <t>22-160</t>
  </si>
  <si>
    <t>Hugo Ekitike</t>
  </si>
  <si>
    <t>23-112</t>
  </si>
  <si>
    <t>Conor Bradley</t>
  </si>
  <si>
    <t>22-093</t>
  </si>
  <si>
    <t>Alexander Isak</t>
  </si>
  <si>
    <t>26-019</t>
  </si>
  <si>
    <t>Curtis Jones</t>
  </si>
  <si>
    <t>24-253</t>
  </si>
  <si>
    <t>Giorgi Mamardashvili</t>
  </si>
  <si>
    <t>25-011</t>
  </si>
  <si>
    <t>Jeremie Frimpong</t>
  </si>
  <si>
    <t>24-304</t>
  </si>
  <si>
    <t>Andrew Robertson</t>
  </si>
  <si>
    <t>31-213</t>
  </si>
  <si>
    <t>Federico Chiesa</t>
  </si>
  <si>
    <t>Wataru Endo</t>
  </si>
  <si>
    <t>32-243</t>
  </si>
  <si>
    <t>Joe Gomez</t>
  </si>
  <si>
    <t>28-140</t>
  </si>
  <si>
    <t>Rio Ngumoha</t>
  </si>
  <si>
    <t>17-042</t>
  </si>
  <si>
    <t>22-189</t>
  </si>
  <si>
    <t>Giovanni Leoni</t>
  </si>
  <si>
    <t>18-293</t>
  </si>
  <si>
    <t>Trey Nyoni</t>
  </si>
  <si>
    <t>Freddie Woodman</t>
  </si>
  <si>
    <t>28-220</t>
  </si>
  <si>
    <t>Liverpool</t>
  </si>
  <si>
    <t>Tijjani Reijnders</t>
  </si>
  <si>
    <t>27-073</t>
  </si>
  <si>
    <t>Erling Haaland</t>
  </si>
  <si>
    <t>25-081</t>
  </si>
  <si>
    <t>Rúben Dias</t>
  </si>
  <si>
    <t>28-149</t>
  </si>
  <si>
    <t>Nico O’Reilly</t>
  </si>
  <si>
    <t>20-203</t>
  </si>
  <si>
    <t>Jeremy Doku</t>
  </si>
  <si>
    <t>23-136</t>
  </si>
  <si>
    <t>Bernardo Silva</t>
  </si>
  <si>
    <t>31-061</t>
  </si>
  <si>
    <t>Oscar Bobb</t>
  </si>
  <si>
    <t>22-090</t>
  </si>
  <si>
    <t>Gianluigi Donnarumma</t>
  </si>
  <si>
    <t>26-227</t>
  </si>
  <si>
    <t>Phil Foden</t>
  </si>
  <si>
    <t>25-135</t>
  </si>
  <si>
    <t>Joško Gvardiol</t>
  </si>
  <si>
    <t>23-260</t>
  </si>
  <si>
    <t>Rodri</t>
  </si>
  <si>
    <t>29-110</t>
  </si>
  <si>
    <t>Nicolás González</t>
  </si>
  <si>
    <t>23-280</t>
  </si>
  <si>
    <t>Matheus Nunes</t>
  </si>
  <si>
    <t>27-044</t>
  </si>
  <si>
    <t>James Trafford</t>
  </si>
  <si>
    <t>23-000</t>
  </si>
  <si>
    <t>John Stones</t>
  </si>
  <si>
    <t>31-135</t>
  </si>
  <si>
    <t>Abdukodir Khusanov</t>
  </si>
  <si>
    <t>21-223</t>
  </si>
  <si>
    <t>Rayan Aït-Nouri</t>
  </si>
  <si>
    <t>24-126</t>
  </si>
  <si>
    <t>Rico Lewis</t>
  </si>
  <si>
    <t>20-323</t>
  </si>
  <si>
    <t>Sávio</t>
  </si>
  <si>
    <t>21-183</t>
  </si>
  <si>
    <t>Omar Marmoush</t>
  </si>
  <si>
    <t>26-245</t>
  </si>
  <si>
    <t>Rayan Cherki</t>
  </si>
  <si>
    <t>22-054</t>
  </si>
  <si>
    <t>Nathan Aké</t>
  </si>
  <si>
    <t>30-234</t>
  </si>
  <si>
    <t>Manuel Akanji</t>
  </si>
  <si>
    <t>30-083</t>
  </si>
  <si>
    <t>Ederson</t>
  </si>
  <si>
    <t>32-054</t>
  </si>
  <si>
    <t>İlkay Gündoğan</t>
  </si>
  <si>
    <t>34-351</t>
  </si>
  <si>
    <t>Mateo Kovačić</t>
  </si>
  <si>
    <t>31-157</t>
  </si>
  <si>
    <t>Ryan Mcaidoo</t>
  </si>
  <si>
    <t>17-108</t>
  </si>
  <si>
    <t>17-240</t>
  </si>
  <si>
    <t>Divine Mukasa</t>
  </si>
  <si>
    <t>18-049</t>
  </si>
  <si>
    <t>Stefan Ortega</t>
  </si>
  <si>
    <t>32-338</t>
  </si>
  <si>
    <t>Manchester City</t>
  </si>
  <si>
    <t>Matthijs de Ligt</t>
  </si>
  <si>
    <t>26-059</t>
  </si>
  <si>
    <t>Bruno Fernandes</t>
  </si>
  <si>
    <t>31-032</t>
  </si>
  <si>
    <t>Luke Shaw</t>
  </si>
  <si>
    <t>30-090</t>
  </si>
  <si>
    <t>Bryan Mbeumo</t>
  </si>
  <si>
    <t>26-064</t>
  </si>
  <si>
    <t>Altay Bayındır</t>
  </si>
  <si>
    <t>27-179</t>
  </si>
  <si>
    <t>Patrick Dorgu</t>
  </si>
  <si>
    <t>20-349</t>
  </si>
  <si>
    <t>Leny Yoro</t>
  </si>
  <si>
    <t>Amad Diallo</t>
  </si>
  <si>
    <t>23-091</t>
  </si>
  <si>
    <t>Casemiro</t>
  </si>
  <si>
    <t>33-229</t>
  </si>
  <si>
    <t>Benjamin Šeško</t>
  </si>
  <si>
    <t>22-132</t>
  </si>
  <si>
    <t>Matheus Cunha</t>
  </si>
  <si>
    <t>26-136</t>
  </si>
  <si>
    <t>Diogo Dalot</t>
  </si>
  <si>
    <t>26-206</t>
  </si>
  <si>
    <t>Mason Mount</t>
  </si>
  <si>
    <t>26-273</t>
  </si>
  <si>
    <t>Manuel Ugarte</t>
  </si>
  <si>
    <t>24-182</t>
  </si>
  <si>
    <t>Harry Maguire</t>
  </si>
  <si>
    <t>32-219</t>
  </si>
  <si>
    <t>Noussair Mazraoui</t>
  </si>
  <si>
    <t>Senne Lammens</t>
  </si>
  <si>
    <t>23-095</t>
  </si>
  <si>
    <t>Kobbie Mainoo</t>
  </si>
  <si>
    <t>20-174</t>
  </si>
  <si>
    <t>Joshua Zirkzee</t>
  </si>
  <si>
    <t>24-141</t>
  </si>
  <si>
    <t>Ayden Heaven</t>
  </si>
  <si>
    <t>19-018</t>
  </si>
  <si>
    <t>Tyler Fredricson</t>
  </si>
  <si>
    <t>20-229</t>
  </si>
  <si>
    <t>Tom Heaton</t>
  </si>
  <si>
    <t>39-178</t>
  </si>
  <si>
    <t>Diego León</t>
  </si>
  <si>
    <t>18-190</t>
  </si>
  <si>
    <t>André Onana</t>
  </si>
  <si>
    <t>29-191</t>
  </si>
  <si>
    <t>Manchester United</t>
  </si>
  <si>
    <t>Dan Burn</t>
  </si>
  <si>
    <t>33-154</t>
  </si>
  <si>
    <t>Nick Pope</t>
  </si>
  <si>
    <t>33-174</t>
  </si>
  <si>
    <t>Sandro Tonali</t>
  </si>
  <si>
    <t>25-155</t>
  </si>
  <si>
    <t>Bruno Guimarães</t>
  </si>
  <si>
    <t>27-328</t>
  </si>
  <si>
    <t>Valentino Livramento</t>
  </si>
  <si>
    <t>22-332</t>
  </si>
  <si>
    <t>Kieran Trippier</t>
  </si>
  <si>
    <t>35-021</t>
  </si>
  <si>
    <t>Joelinton</t>
  </si>
  <si>
    <t>29-057</t>
  </si>
  <si>
    <t>Fabian Schär</t>
  </si>
  <si>
    <t>33-294</t>
  </si>
  <si>
    <t>Sven Botman</t>
  </si>
  <si>
    <t>25-271</t>
  </si>
  <si>
    <t>Jacob Murphy</t>
  </si>
  <si>
    <t>Nick Woltemade</t>
  </si>
  <si>
    <t>23-238</t>
  </si>
  <si>
    <t>Anthony Gordon</t>
  </si>
  <si>
    <t>Anthony Elanga</t>
  </si>
  <si>
    <t>23-166</t>
  </si>
  <si>
    <t>Harvey Barnes</t>
  </si>
  <si>
    <t>27-305</t>
  </si>
  <si>
    <t>Malick Thiaw</t>
  </si>
  <si>
    <t>24-063</t>
  </si>
  <si>
    <t>Lewis Miley</t>
  </si>
  <si>
    <t>19-162</t>
  </si>
  <si>
    <t>William Osula</t>
  </si>
  <si>
    <t>22-067</t>
  </si>
  <si>
    <t>Lewis Hall</t>
  </si>
  <si>
    <t>21-032</t>
  </si>
  <si>
    <t>Joe Willock</t>
  </si>
  <si>
    <t>26-051</t>
  </si>
  <si>
    <t>Jacob Ramsey</t>
  </si>
  <si>
    <t>24-135</t>
  </si>
  <si>
    <t>Jamaal Lascelles</t>
  </si>
  <si>
    <t>31-333</t>
  </si>
  <si>
    <t>Emil Krafth</t>
  </si>
  <si>
    <t>31-069</t>
  </si>
  <si>
    <t>Aaron Ramsdale</t>
  </si>
  <si>
    <t>27-149</t>
  </si>
  <si>
    <t>Park Seungsoo</t>
  </si>
  <si>
    <t>18-207</t>
  </si>
  <si>
    <t>Newcastle United</t>
  </si>
  <si>
    <t>Elliot Anderson</t>
  </si>
  <si>
    <t>22-338</t>
  </si>
  <si>
    <t>Nikola Milenković</t>
  </si>
  <si>
    <t>27-363</t>
  </si>
  <si>
    <t>Matz Sels</t>
  </si>
  <si>
    <t>33-226</t>
  </si>
  <si>
    <t>Neco Williams</t>
  </si>
  <si>
    <t>24-180</t>
  </si>
  <si>
    <t>Chris Wood</t>
  </si>
  <si>
    <t>33-307</t>
  </si>
  <si>
    <t>Dan Ndoye</t>
  </si>
  <si>
    <t>Morgan Gibbs-White</t>
  </si>
  <si>
    <t>25-256</t>
  </si>
  <si>
    <t>Callum Hudson-Odoi</t>
  </si>
  <si>
    <t>24-337</t>
  </si>
  <si>
    <t>Ibrahim Sangaré</t>
  </si>
  <si>
    <t>27-312</t>
  </si>
  <si>
    <t>Morato</t>
  </si>
  <si>
    <t>24-102</t>
  </si>
  <si>
    <t>Murillo</t>
  </si>
  <si>
    <t>23-098</t>
  </si>
  <si>
    <t>Ola Aina</t>
  </si>
  <si>
    <t>29-002</t>
  </si>
  <si>
    <t>Oleksandr Zinchenko</t>
  </si>
  <si>
    <t>28-299</t>
  </si>
  <si>
    <t>Dilane Bakwa</t>
  </si>
  <si>
    <t>23-045</t>
  </si>
  <si>
    <t>Nicolò Savona</t>
  </si>
  <si>
    <t>22-205</t>
  </si>
  <si>
    <t>James Mcatee</t>
  </si>
  <si>
    <t>22-357</t>
  </si>
  <si>
    <t>Ryan Yates</t>
  </si>
  <si>
    <t>27-323</t>
  </si>
  <si>
    <t>Jair Cunha</t>
  </si>
  <si>
    <t>20-217</t>
  </si>
  <si>
    <t>Douglas Luiz</t>
  </si>
  <si>
    <t>27-154</t>
  </si>
  <si>
    <t>Nicolás Domínguez</t>
  </si>
  <si>
    <t>27-104</t>
  </si>
  <si>
    <t>Igor Jesus</t>
  </si>
  <si>
    <t>24-227</t>
  </si>
  <si>
    <t>Arnaud Kalimuendo</t>
  </si>
  <si>
    <t>23-263</t>
  </si>
  <si>
    <t>Omari Hutchinson</t>
  </si>
  <si>
    <t>21-345</t>
  </si>
  <si>
    <t>Jota Silva</t>
  </si>
  <si>
    <t>26-070</t>
  </si>
  <si>
    <t>Zach Abbott</t>
  </si>
  <si>
    <t>19-150</t>
  </si>
  <si>
    <t>Taiwo Awoniyi</t>
  </si>
  <si>
    <t>28-059</t>
  </si>
  <si>
    <t>Willy Boly</t>
  </si>
  <si>
    <t>34-249</t>
  </si>
  <si>
    <t>Angus Gunn</t>
  </si>
  <si>
    <t>29-261</t>
  </si>
  <si>
    <t>John</t>
  </si>
  <si>
    <t>29-239</t>
  </si>
  <si>
    <t>Nottingham Forest</t>
  </si>
  <si>
    <t>Robin Roefs</t>
  </si>
  <si>
    <t>22-266</t>
  </si>
  <si>
    <t>Granit Xhaka</t>
  </si>
  <si>
    <t>33-013</t>
  </si>
  <si>
    <t>Noah Sadiki</t>
  </si>
  <si>
    <t>20-297</t>
  </si>
  <si>
    <t>Trai Hume</t>
  </si>
  <si>
    <t>23-206</t>
  </si>
  <si>
    <t>Omar Alderete</t>
  </si>
  <si>
    <t>28-288</t>
  </si>
  <si>
    <t>Chemsdine Talbi</t>
  </si>
  <si>
    <t>20-154</t>
  </si>
  <si>
    <t>Nordi Mukiele</t>
  </si>
  <si>
    <t>27-343</t>
  </si>
  <si>
    <t>Reinildo Mandava</t>
  </si>
  <si>
    <t>31-262</t>
  </si>
  <si>
    <t>Wilson Isidor</t>
  </si>
  <si>
    <t>25-044</t>
  </si>
  <si>
    <t>Enzo Le Fée</t>
  </si>
  <si>
    <t>25-249</t>
  </si>
  <si>
    <t>Habib Diarra</t>
  </si>
  <si>
    <t>Simon Adingra</t>
  </si>
  <si>
    <t>23-282</t>
  </si>
  <si>
    <t>Eliezer Mayenda</t>
  </si>
  <si>
    <t>20-155</t>
  </si>
  <si>
    <t>Daniel Ballard</t>
  </si>
  <si>
    <t>26-018</t>
  </si>
  <si>
    <t>Arthur Masuaku</t>
  </si>
  <si>
    <t>31-337</t>
  </si>
  <si>
    <t>Chris Rigg</t>
  </si>
  <si>
    <t>18-114</t>
  </si>
  <si>
    <t>Jenson Seelt</t>
  </si>
  <si>
    <t>22-140</t>
  </si>
  <si>
    <t>Bertrand Traoré</t>
  </si>
  <si>
    <t>30-034</t>
  </si>
  <si>
    <t>Lutsharel Geertruida</t>
  </si>
  <si>
    <t>25-084</t>
  </si>
  <si>
    <t>Brian Brobbey</t>
  </si>
  <si>
    <t>23-251</t>
  </si>
  <si>
    <t>Patrick Roberts</t>
  </si>
  <si>
    <t>Dan Neil</t>
  </si>
  <si>
    <t>23-301</t>
  </si>
  <si>
    <t>Harrison Jones</t>
  </si>
  <si>
    <t>20-289</t>
  </si>
  <si>
    <t>Luke O'Nien</t>
  </si>
  <si>
    <t>30-323</t>
  </si>
  <si>
    <t>Anthony Patterson</t>
  </si>
  <si>
    <t>25-153</t>
  </si>
  <si>
    <t>Sunderland</t>
  </si>
  <si>
    <t>Cristian Romero</t>
  </si>
  <si>
    <t>27-166</t>
  </si>
  <si>
    <t>Guglielmo Vicario</t>
  </si>
  <si>
    <t>29-003</t>
  </si>
  <si>
    <t>Micky van de Ven</t>
  </si>
  <si>
    <t>24-174</t>
  </si>
  <si>
    <t>Mohammed Kudus</t>
  </si>
  <si>
    <t>25-069</t>
  </si>
  <si>
    <t>Pedro Porro</t>
  </si>
  <si>
    <t>26-027</t>
  </si>
  <si>
    <t>João Palhinha</t>
  </si>
  <si>
    <t>30-093</t>
  </si>
  <si>
    <t>Richarlison</t>
  </si>
  <si>
    <t>28-153</t>
  </si>
  <si>
    <t>Rodrigo Bentancur</t>
  </si>
  <si>
    <t>28-107</t>
  </si>
  <si>
    <t>Djed Spence</t>
  </si>
  <si>
    <t>25-062</t>
  </si>
  <si>
    <t>Pape Matar Sarr</t>
  </si>
  <si>
    <t>23-026</t>
  </si>
  <si>
    <t>Lucas Bergvall</t>
  </si>
  <si>
    <t>19-250</t>
  </si>
  <si>
    <t>Destiny Udogie</t>
  </si>
  <si>
    <t>22-316</t>
  </si>
  <si>
    <t>Brennan Johnson</t>
  </si>
  <si>
    <t>24-140</t>
  </si>
  <si>
    <t>Xavi Simons</t>
  </si>
  <si>
    <t>22-172</t>
  </si>
  <si>
    <t>Wilson Odobert</t>
  </si>
  <si>
    <t>20-316</t>
  </si>
  <si>
    <t>Mathys Tel</t>
  </si>
  <si>
    <t>20-166</t>
  </si>
  <si>
    <t>Archie Gray</t>
  </si>
  <si>
    <t>Dominic Solanke</t>
  </si>
  <si>
    <t>28-026</t>
  </si>
  <si>
    <t>Kevin Danso</t>
  </si>
  <si>
    <t>Ben Davies</t>
  </si>
  <si>
    <t>32-169</t>
  </si>
  <si>
    <t>Antonín Kinský</t>
  </si>
  <si>
    <t>22-211</t>
  </si>
  <si>
    <t>Randal Kolo Muani</t>
  </si>
  <si>
    <t>26-309</t>
  </si>
  <si>
    <t>Dane Scarlett</t>
  </si>
  <si>
    <t>21-200</t>
  </si>
  <si>
    <t>Manor Solomon</t>
  </si>
  <si>
    <t>26-078</t>
  </si>
  <si>
    <t>Luka Vušković</t>
  </si>
  <si>
    <t>18-228</t>
  </si>
  <si>
    <t>Tottenham</t>
  </si>
  <si>
    <t>Jarrod Bowen</t>
  </si>
  <si>
    <t>28-294</t>
  </si>
  <si>
    <t>El Hadji Malick Diouf</t>
  </si>
  <si>
    <t>20-286</t>
  </si>
  <si>
    <t>Max Kilman</t>
  </si>
  <si>
    <t>Lucas Paquetá</t>
  </si>
  <si>
    <t>28-044</t>
  </si>
  <si>
    <t>Konstantinos Mavropanos</t>
  </si>
  <si>
    <t>27-303</t>
  </si>
  <si>
    <t>James Ward-Prowse</t>
  </si>
  <si>
    <t>30-343</t>
  </si>
  <si>
    <t>Mateus Fernandes</t>
  </si>
  <si>
    <t>21-092</t>
  </si>
  <si>
    <t>Niclas Füllkrug</t>
  </si>
  <si>
    <t>Kyle Walker-Peters</t>
  </si>
  <si>
    <t>28-180</t>
  </si>
  <si>
    <t>Mads Hermansen</t>
  </si>
  <si>
    <t>25-091</t>
  </si>
  <si>
    <t>Crysencio Summerville</t>
  </si>
  <si>
    <t>23-345</t>
  </si>
  <si>
    <t>Alphonse Areola</t>
  </si>
  <si>
    <t>32-225</t>
  </si>
  <si>
    <t>Aaron Wan-Bissaka</t>
  </si>
  <si>
    <t>27-318</t>
  </si>
  <si>
    <t>Tomáš Souček</t>
  </si>
  <si>
    <t>30-225</t>
  </si>
  <si>
    <t>Nayef Aguerd</t>
  </si>
  <si>
    <t>29-194</t>
  </si>
  <si>
    <t>Soungoutou Magassa</t>
  </si>
  <si>
    <t>22-002</t>
  </si>
  <si>
    <t>Jean-Clair Todibo</t>
  </si>
  <si>
    <t>25-284</t>
  </si>
  <si>
    <t>Callum Wilson</t>
  </si>
  <si>
    <t>33-225</t>
  </si>
  <si>
    <t>Guido Rodríguez</t>
  </si>
  <si>
    <t>31-181</t>
  </si>
  <si>
    <t>Freddie Potts</t>
  </si>
  <si>
    <t>22-028</t>
  </si>
  <si>
    <t>Luis Guilherme</t>
  </si>
  <si>
    <t>19-243</t>
  </si>
  <si>
    <t>Callum Marshall</t>
  </si>
  <si>
    <t>Andy Irving</t>
  </si>
  <si>
    <t>25-150</t>
  </si>
  <si>
    <t>Igor</t>
  </si>
  <si>
    <t>27-245</t>
  </si>
  <si>
    <t>Edson Álvarez</t>
  </si>
  <si>
    <t>27-351</t>
  </si>
  <si>
    <t>Łukasz Fabiański</t>
  </si>
  <si>
    <t>40-175</t>
  </si>
  <si>
    <t>Oliver Scarles</t>
  </si>
  <si>
    <t>19-302</t>
  </si>
  <si>
    <t>WestHam United</t>
  </si>
  <si>
    <t>João Gomes</t>
  </si>
  <si>
    <t>24-240</t>
  </si>
  <si>
    <t>Emmanuel Agbadou</t>
  </si>
  <si>
    <t>28-115</t>
  </si>
  <si>
    <t>Marshall Munetsi</t>
  </si>
  <si>
    <t>André</t>
  </si>
  <si>
    <t>24-086</t>
  </si>
  <si>
    <t>Toti Gomes</t>
  </si>
  <si>
    <t>Hugo Bueno</t>
  </si>
  <si>
    <t>23-022</t>
  </si>
  <si>
    <t>Jørgen Strand Larsen</t>
  </si>
  <si>
    <t>25-246</t>
  </si>
  <si>
    <t>Ladislav Krejčí</t>
  </si>
  <si>
    <t>26-173</t>
  </si>
  <si>
    <t>José Sá</t>
  </si>
  <si>
    <t>32-266</t>
  </si>
  <si>
    <t>Jhon Arias</t>
  </si>
  <si>
    <t>28-019</t>
  </si>
  <si>
    <t>Hwang Hee-chan</t>
  </si>
  <si>
    <t>29-257</t>
  </si>
  <si>
    <t>Jackson Tchatchoua</t>
  </si>
  <si>
    <t>24-026</t>
  </si>
  <si>
    <t>Santiago Bueno</t>
  </si>
  <si>
    <t>26-335</t>
  </si>
  <si>
    <t>Sam Johnstone</t>
  </si>
  <si>
    <t>32-199</t>
  </si>
  <si>
    <t>Jean-Ricner Bellegarde</t>
  </si>
  <si>
    <t>27-105</t>
  </si>
  <si>
    <t>Matt Doherty</t>
  </si>
  <si>
    <t>33-267</t>
  </si>
  <si>
    <t>Rodrigo Gomes</t>
  </si>
  <si>
    <t>22-095</t>
  </si>
  <si>
    <t>Tolu Arokodare</t>
  </si>
  <si>
    <t>24-321</t>
  </si>
  <si>
    <t>David Møller Wolfe</t>
  </si>
  <si>
    <t>23-170</t>
  </si>
  <si>
    <t>Yerson Mosquera</t>
  </si>
  <si>
    <t>Ki-Jana Hoever</t>
  </si>
  <si>
    <t>23-265</t>
  </si>
  <si>
    <t>Fer López</t>
  </si>
  <si>
    <t>Sasa Kalajdzic</t>
  </si>
  <si>
    <t>28-095</t>
  </si>
  <si>
    <t>Daniel Bentley</t>
  </si>
  <si>
    <t>32-089</t>
  </si>
  <si>
    <t>Wolves</t>
  </si>
  <si>
    <t>Albania</t>
  </si>
  <si>
    <t>Argentina</t>
  </si>
  <si>
    <t>Austria</t>
  </si>
  <si>
    <t>Belgium</t>
  </si>
  <si>
    <t>Burkina Faso</t>
  </si>
  <si>
    <t>Bulgaria</t>
  </si>
  <si>
    <t>Brazil</t>
  </si>
  <si>
    <t>Congo DR</t>
  </si>
  <si>
    <t>Switzerland</t>
  </si>
  <si>
    <t>Côte d'Ivoire</t>
  </si>
  <si>
    <t>Cameroon</t>
  </si>
  <si>
    <t>Colombia</t>
  </si>
  <si>
    <t>Czech Republic</t>
  </si>
  <si>
    <t>Germany</t>
  </si>
  <si>
    <t>Denmark</t>
  </si>
  <si>
    <t>Algeria</t>
  </si>
  <si>
    <t>Ecuador</t>
  </si>
  <si>
    <t>Egypt</t>
  </si>
  <si>
    <t>England</t>
  </si>
  <si>
    <t>Spain</t>
  </si>
  <si>
    <t>France</t>
  </si>
  <si>
    <t>Georgia</t>
  </si>
  <si>
    <t>Ghana</t>
  </si>
  <si>
    <t>Gambia</t>
  </si>
  <si>
    <t>Greece</t>
  </si>
  <si>
    <t>Guinea-Bissau</t>
  </si>
  <si>
    <t>Croatia</t>
  </si>
  <si>
    <t>Haiti</t>
  </si>
  <si>
    <t>Hungary</t>
  </si>
  <si>
    <t>Republic of Ireland</t>
  </si>
  <si>
    <t>Israel</t>
  </si>
  <si>
    <t>Iceland</t>
  </si>
  <si>
    <t>Italy</t>
  </si>
  <si>
    <t>Jamaica</t>
  </si>
  <si>
    <t>Japan</t>
  </si>
  <si>
    <t>South Korea</t>
  </si>
  <si>
    <t>Morocco</t>
  </si>
  <si>
    <t>Mexico</t>
  </si>
  <si>
    <t>Mozambique</t>
  </si>
  <si>
    <t>Nigeria</t>
  </si>
  <si>
    <t>Northern Ireland</t>
  </si>
  <si>
    <t>Netherlands</t>
  </si>
  <si>
    <t>Norway</t>
  </si>
  <si>
    <t>New Zealand</t>
  </si>
  <si>
    <t>Peru</t>
  </si>
  <si>
    <t>Poland</t>
  </si>
  <si>
    <t>Portugal</t>
  </si>
  <si>
    <t>Paraguay</t>
  </si>
  <si>
    <t>Serbia</t>
  </si>
  <si>
    <t>Scotland</t>
  </si>
  <si>
    <t>Sweden</t>
  </si>
  <si>
    <t>Slovenia</t>
  </si>
  <si>
    <t>Slovakia</t>
  </si>
  <si>
    <t>Senegal</t>
  </si>
  <si>
    <t>Tunisia</t>
  </si>
  <si>
    <t>Turkey</t>
  </si>
  <si>
    <t>Trinidad &amp; Tobago</t>
  </si>
  <si>
    <t>Ukraine</t>
  </si>
  <si>
    <t>USA</t>
  </si>
  <si>
    <t>Uruguay</t>
  </si>
  <si>
    <t>Uzbekistan</t>
  </si>
  <si>
    <t>Wales</t>
  </si>
  <si>
    <t>South Africa</t>
  </si>
  <si>
    <t>Zimbabwe</t>
  </si>
  <si>
    <t>20-312</t>
  </si>
  <si>
    <t>27-295</t>
  </si>
  <si>
    <t>30-025</t>
  </si>
  <si>
    <t>Goalkeeper</t>
  </si>
  <si>
    <t>Forward</t>
  </si>
  <si>
    <t>Defender,Forward</t>
  </si>
  <si>
    <t>Forward,Defender</t>
  </si>
  <si>
    <t>Forward,M</t>
  </si>
  <si>
    <t>Midfielder</t>
  </si>
  <si>
    <t>Midfielder,Forward</t>
  </si>
  <si>
    <t>Forward,Midfielder</t>
  </si>
  <si>
    <t>Midfielder,Defender</t>
  </si>
  <si>
    <t>Defender,Midfielder</t>
  </si>
  <si>
    <t>Stephen Midfielderuni</t>
  </si>
  <si>
    <t>Team id</t>
  </si>
  <si>
    <t>Player id</t>
  </si>
  <si>
    <t>Teams</t>
  </si>
  <si>
    <t>Bournemouth</t>
  </si>
  <si>
    <t>West Ham</t>
  </si>
  <si>
    <t>Posession</t>
  </si>
  <si>
    <t>Non-penalty goals</t>
  </si>
  <si>
    <t>Penalty goals</t>
  </si>
  <si>
    <t>Penalties attempted</t>
  </si>
  <si>
    <t>Tackles won</t>
  </si>
  <si>
    <t>Passing Accuracy</t>
  </si>
  <si>
    <t>Gameweeks</t>
  </si>
  <si>
    <t>Positions</t>
  </si>
  <si>
    <t>Goals scored</t>
  </si>
  <si>
    <t>GW0</t>
  </si>
  <si>
    <t>Brighton &amp; Hove Albion</t>
  </si>
  <si>
    <t>Tottenham Hotspur</t>
  </si>
  <si>
    <t>West Ham United</t>
  </si>
  <si>
    <t>Wolverhampton Wanderers</t>
  </si>
  <si>
    <t>GW1</t>
  </si>
  <si>
    <t>GW2</t>
  </si>
  <si>
    <t>GW3</t>
  </si>
  <si>
    <t>GW4</t>
  </si>
  <si>
    <t>GW5</t>
  </si>
  <si>
    <t>GW6</t>
  </si>
  <si>
    <t>GW7</t>
  </si>
  <si>
    <t>GW 8</t>
  </si>
  <si>
    <t>Match id</t>
  </si>
  <si>
    <t>Date</t>
  </si>
  <si>
    <t>Time</t>
  </si>
  <si>
    <t>HomeTeam</t>
  </si>
  <si>
    <t>Home team id</t>
  </si>
  <si>
    <t>AwayTeam</t>
  </si>
  <si>
    <t>Away team id</t>
  </si>
  <si>
    <t>Home Goals</t>
  </si>
  <si>
    <t>Away goals</t>
  </si>
  <si>
    <t>Result</t>
  </si>
  <si>
    <t>xGH</t>
  </si>
  <si>
    <t>xGA</t>
  </si>
  <si>
    <t>Referee</t>
  </si>
  <si>
    <t>A Taylor</t>
  </si>
  <si>
    <t>C Pawson</t>
  </si>
  <si>
    <t>S Barrott</t>
  </si>
  <si>
    <t>R Jones</t>
  </si>
  <si>
    <t>M Oliver</t>
  </si>
  <si>
    <t>J Gillett</t>
  </si>
  <si>
    <t>D England</t>
  </si>
  <si>
    <t>P Bankes</t>
  </si>
  <si>
    <t>S Hooper</t>
  </si>
  <si>
    <t>Leeds</t>
  </si>
  <si>
    <t>C Kavanagh</t>
  </si>
  <si>
    <t>T Bramall</t>
  </si>
  <si>
    <t>T Harrington</t>
  </si>
  <si>
    <t>M Salisbury</t>
  </si>
  <si>
    <t>S Attwell</t>
  </si>
  <si>
    <t>A Madley</t>
  </si>
  <si>
    <t>J Brooks</t>
  </si>
  <si>
    <t>A Kitchen</t>
  </si>
  <si>
    <t>Newcastle</t>
  </si>
  <si>
    <t>T Robinson</t>
  </si>
  <si>
    <t>Man United</t>
  </si>
  <si>
    <t>Y_d</t>
  </si>
  <si>
    <t>GA</t>
  </si>
  <si>
    <t>Non-penalty</t>
  </si>
  <si>
    <t>Prg carries</t>
  </si>
  <si>
    <t>Prg passes</t>
  </si>
  <si>
    <t>Gls90</t>
  </si>
  <si>
    <t>Ast90</t>
  </si>
  <si>
    <t>GA90</t>
  </si>
  <si>
    <t>Non penalties90</t>
  </si>
  <si>
    <t>Prg_carries</t>
  </si>
  <si>
    <t>Prg_passes</t>
  </si>
  <si>
    <t>Home</t>
  </si>
  <si>
    <t>Draw</t>
  </si>
  <si>
    <t>Away</t>
  </si>
  <si>
    <t>Home shots</t>
  </si>
  <si>
    <t>Away shots</t>
  </si>
  <si>
    <t>Home Fouls</t>
  </si>
  <si>
    <t>Away Fouls</t>
  </si>
  <si>
    <t>Home SOT</t>
  </si>
  <si>
    <t>Away SOT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</si>
</sst>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5"/>
      <color theme="1"/>
      <name val="Calibri"/>
      <family val="2"/>
      <scheme val="minor"/>
    </font>
    <font>
      <sz val="8.5"/>
      <color rgb="FF000000"/>
      <name val="Verdana"/>
      <family val="2"/>
    </font>
    <font>
      <sz val="12"/>
      <color theme="1"/>
      <name val="Calibri"/>
      <family val="2"/>
      <scheme val="minor"/>
    </font>
    <font>
      <sz val="8.5"/>
      <color theme="1"/>
      <name val="Verdana"/>
      <family val="2"/>
    </font>
    <font>
      <sz val="11"/>
      <color theme="1"/>
      <name val="Calibri"/>
      <family val="2"/>
      <scheme val="minor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0" applyFont="1" applyFill="1" applyAlignment="1">
      <alignment horizontal="right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1" fontId="5" fillId="0" borderId="1" xfId="0" applyNumberFormat="1" applyFont="1" applyBorder="1"/>
    <xf numFmtId="1" fontId="6" fillId="0" borderId="1" xfId="0" applyNumberFormat="1" applyFont="1" applyBorder="1"/>
    <xf numFmtId="1" fontId="0" fillId="0" borderId="1" xfId="0" applyNumberFormat="1" applyBorder="1"/>
    <xf numFmtId="1" fontId="0" fillId="0" borderId="0" xfId="0" applyNumberFormat="1"/>
    <xf numFmtId="0" fontId="2" fillId="0" borderId="1" xfId="0" applyFont="1" applyBorder="1" applyAlignment="1">
      <alignment horizontal="center" vertical="center"/>
    </xf>
    <xf numFmtId="164" fontId="0" fillId="0" borderId="1" xfId="1" applyNumberFormat="1" applyFont="1" applyBorder="1"/>
    <xf numFmtId="164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/>
    <xf numFmtId="20" fontId="0" fillId="0" borderId="0" xfId="0" applyNumberFormat="1"/>
    <xf numFmtId="2" fontId="5" fillId="0" borderId="1" xfId="0" applyNumberFormat="1" applyFont="1" applyBorder="1"/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/>
    <xf numFmtId="1" fontId="0" fillId="0" borderId="4" xfId="0" applyNumberFormat="1" applyBorder="1"/>
    <xf numFmtId="0" fontId="0" fillId="0" borderId="4" xfId="0" applyBorder="1"/>
    <xf numFmtId="0" fontId="2" fillId="0" borderId="4" xfId="0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7"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0A98-601C-47AB-B1FE-33A8359B13F1}">
  <sheetPr filterMode="1"/>
  <dimension ref="A1:AN527"/>
  <sheetViews>
    <sheetView workbookViewId="0">
      <selection activeCell="D508" sqref="D508"/>
    </sheetView>
  </sheetViews>
  <sheetFormatPr defaultRowHeight="14.5" x14ac:dyDescent="0.35"/>
  <cols>
    <col min="1" max="1" width="8.7265625" style="16"/>
    <col min="2" max="2" width="8.7265625" style="17"/>
    <col min="4" max="4" width="22.90625" style="2" bestFit="1" customWidth="1"/>
    <col min="5" max="7" width="8.7265625" style="2"/>
    <col min="8" max="8" width="8.7265625" style="30"/>
    <col min="9" max="16384" width="8.7265625" style="2"/>
  </cols>
  <sheetData>
    <row r="1" spans="1:40" ht="15.5" x14ac:dyDescent="0.35">
      <c r="A1" s="14" t="s">
        <v>1129</v>
      </c>
      <c r="B1" s="14" t="s">
        <v>1128</v>
      </c>
      <c r="C1" s="12" t="s">
        <v>1130</v>
      </c>
      <c r="D1" s="12" t="s">
        <v>0</v>
      </c>
      <c r="E1" s="12" t="s">
        <v>1</v>
      </c>
      <c r="F1" s="12" t="s">
        <v>59</v>
      </c>
      <c r="G1" s="12" t="s">
        <v>1189</v>
      </c>
      <c r="H1" s="28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idden="1" x14ac:dyDescent="0.35">
      <c r="A2" s="15">
        <v>101</v>
      </c>
      <c r="B2" s="15">
        <v>1</v>
      </c>
      <c r="C2" s="13" t="s">
        <v>61</v>
      </c>
      <c r="D2" s="13" t="s">
        <v>49</v>
      </c>
      <c r="E2" s="13" t="s">
        <v>1068</v>
      </c>
      <c r="F2" s="9" t="s">
        <v>1118</v>
      </c>
      <c r="G2" s="9" t="s">
        <v>50</v>
      </c>
      <c r="H2" s="29" t="str">
        <f t="shared" ref="H2:H65" si="0">LEFT(G2,2)</f>
        <v>17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K2" s="4"/>
      <c r="AL2" s="4"/>
      <c r="AM2" s="4"/>
      <c r="AN2" s="5"/>
    </row>
    <row r="3" spans="1:40" hidden="1" x14ac:dyDescent="0.35">
      <c r="A3" s="15">
        <f>A2+1</f>
        <v>102</v>
      </c>
      <c r="B3" s="15">
        <v>1</v>
      </c>
      <c r="C3" s="13" t="s">
        <v>61</v>
      </c>
      <c r="D3" s="13" t="s">
        <v>39</v>
      </c>
      <c r="E3" s="13" t="s">
        <v>1068</v>
      </c>
      <c r="F3" s="9" t="s">
        <v>60</v>
      </c>
      <c r="G3" s="9" t="s">
        <v>40</v>
      </c>
      <c r="H3" s="29" t="str">
        <f t="shared" si="0"/>
        <v>28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AK3" s="4"/>
      <c r="AL3" s="4"/>
      <c r="AM3" s="4"/>
    </row>
    <row r="4" spans="1:40" hidden="1" x14ac:dyDescent="0.35">
      <c r="A4" s="15">
        <f t="shared" ref="A4:A27" si="1">A3+1</f>
        <v>103</v>
      </c>
      <c r="B4" s="15">
        <v>1</v>
      </c>
      <c r="C4" s="13" t="s">
        <v>61</v>
      </c>
      <c r="D4" s="13" t="s">
        <v>23</v>
      </c>
      <c r="E4" s="13" t="s">
        <v>1068</v>
      </c>
      <c r="F4" s="9" t="s">
        <v>1118</v>
      </c>
      <c r="G4" s="9" t="s">
        <v>24</v>
      </c>
      <c r="H4" s="29" t="str">
        <f t="shared" si="0"/>
        <v>24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K4" s="4"/>
      <c r="AL4" s="4"/>
      <c r="AM4" s="4"/>
    </row>
    <row r="5" spans="1:40" hidden="1" x14ac:dyDescent="0.35">
      <c r="A5" s="15">
        <f t="shared" si="1"/>
        <v>104</v>
      </c>
      <c r="B5" s="15">
        <v>1</v>
      </c>
      <c r="C5" s="13" t="s">
        <v>61</v>
      </c>
      <c r="D5" s="13" t="s">
        <v>57</v>
      </c>
      <c r="E5" s="13" t="s">
        <v>1064</v>
      </c>
      <c r="F5" s="9" t="s">
        <v>1122</v>
      </c>
      <c r="G5" s="9" t="s">
        <v>58</v>
      </c>
      <c r="H5" s="29" t="str">
        <f t="shared" si="0"/>
        <v>31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K5" s="4"/>
      <c r="AL5" s="4"/>
      <c r="AM5" s="4"/>
    </row>
    <row r="6" spans="1:40" hidden="1" x14ac:dyDescent="0.35">
      <c r="A6" s="15">
        <f t="shared" si="1"/>
        <v>105</v>
      </c>
      <c r="B6" s="15">
        <v>1</v>
      </c>
      <c r="C6" s="13" t="s">
        <v>61</v>
      </c>
      <c r="D6" s="13" t="s">
        <v>35</v>
      </c>
      <c r="E6" s="13" t="s">
        <v>1069</v>
      </c>
      <c r="F6" s="9" t="s">
        <v>60</v>
      </c>
      <c r="G6" s="9" t="s">
        <v>36</v>
      </c>
      <c r="H6" s="29" t="str">
        <f t="shared" si="0"/>
        <v>21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K6" s="4"/>
      <c r="AL6" s="4"/>
      <c r="AM6" s="4"/>
    </row>
    <row r="7" spans="1:40" hidden="1" x14ac:dyDescent="0.35">
      <c r="A7" s="15">
        <f t="shared" si="1"/>
        <v>106</v>
      </c>
      <c r="B7" s="15">
        <v>1</v>
      </c>
      <c r="C7" s="13" t="s">
        <v>61</v>
      </c>
      <c r="D7" s="13" t="s">
        <v>10</v>
      </c>
      <c r="E7" s="13" t="s">
        <v>1069</v>
      </c>
      <c r="F7" s="9" t="s">
        <v>1117</v>
      </c>
      <c r="G7" s="9" t="s">
        <v>1116</v>
      </c>
      <c r="H7" s="29" t="str">
        <f t="shared" si="0"/>
        <v>30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K7" s="4"/>
      <c r="AL7" s="4"/>
      <c r="AM7" s="4"/>
    </row>
    <row r="8" spans="1:40" hidden="1" x14ac:dyDescent="0.35">
      <c r="A8" s="15">
        <f t="shared" si="1"/>
        <v>107</v>
      </c>
      <c r="B8" s="15">
        <v>1</v>
      </c>
      <c r="C8" s="13" t="s">
        <v>61</v>
      </c>
      <c r="D8" s="13" t="s">
        <v>17</v>
      </c>
      <c r="E8" s="13" t="s">
        <v>1068</v>
      </c>
      <c r="F8" s="9" t="s">
        <v>1122</v>
      </c>
      <c r="G8" s="9" t="s">
        <v>18</v>
      </c>
      <c r="H8" s="29" t="str">
        <f t="shared" si="0"/>
        <v>26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K8" s="4"/>
      <c r="AL8" s="4"/>
      <c r="AM8" s="4"/>
    </row>
    <row r="9" spans="1:40" hidden="1" x14ac:dyDescent="0.35">
      <c r="A9" s="15">
        <f t="shared" si="1"/>
        <v>108</v>
      </c>
      <c r="B9" s="15">
        <v>1</v>
      </c>
      <c r="C9" s="13" t="s">
        <v>61</v>
      </c>
      <c r="D9" s="13" t="s">
        <v>29</v>
      </c>
      <c r="E9" s="13" t="s">
        <v>1068</v>
      </c>
      <c r="F9" s="9" t="s">
        <v>1123</v>
      </c>
      <c r="G9" s="9" t="s">
        <v>30</v>
      </c>
      <c r="H9" s="29" t="str">
        <f t="shared" si="0"/>
        <v>27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K9" s="4"/>
      <c r="AL9" s="4"/>
      <c r="AM9" s="4"/>
    </row>
    <row r="10" spans="1:40" hidden="1" x14ac:dyDescent="0.35">
      <c r="A10" s="15">
        <f t="shared" si="1"/>
        <v>109</v>
      </c>
      <c r="B10" s="15">
        <v>1</v>
      </c>
      <c r="C10" s="13" t="s">
        <v>61</v>
      </c>
      <c r="D10" s="13" t="s">
        <v>41</v>
      </c>
      <c r="E10" s="13" t="s">
        <v>1068</v>
      </c>
      <c r="F10" s="9" t="s">
        <v>1122</v>
      </c>
      <c r="G10" s="9" t="s">
        <v>42</v>
      </c>
      <c r="H10" s="29" t="str">
        <f t="shared" si="0"/>
        <v>18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K10" s="4"/>
      <c r="AL10" s="4"/>
      <c r="AM10" s="4"/>
    </row>
    <row r="11" spans="1:40" hidden="1" x14ac:dyDescent="0.35">
      <c r="A11" s="15">
        <f t="shared" si="1"/>
        <v>110</v>
      </c>
      <c r="B11" s="15">
        <v>1</v>
      </c>
      <c r="C11" s="13" t="s">
        <v>61</v>
      </c>
      <c r="D11" s="13" t="s">
        <v>9</v>
      </c>
      <c r="E11" s="13" t="s">
        <v>1056</v>
      </c>
      <c r="F11" s="9" t="s">
        <v>60</v>
      </c>
      <c r="G11" s="9" t="s">
        <v>1115</v>
      </c>
      <c r="H11" s="29" t="str">
        <f t="shared" si="0"/>
        <v>27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K11" s="4"/>
      <c r="AL11" s="4"/>
      <c r="AM11" s="4"/>
    </row>
    <row r="12" spans="1:40" hidden="1" x14ac:dyDescent="0.35">
      <c r="A12" s="15">
        <f t="shared" si="1"/>
        <v>111</v>
      </c>
      <c r="B12" s="15">
        <v>1</v>
      </c>
      <c r="C12" s="13" t="s">
        <v>61</v>
      </c>
      <c r="D12" s="13" t="s">
        <v>37</v>
      </c>
      <c r="E12" s="13" t="s">
        <v>1056</v>
      </c>
      <c r="F12" s="9" t="s">
        <v>1118</v>
      </c>
      <c r="G12" s="9" t="s">
        <v>38</v>
      </c>
      <c r="H12" s="29" t="str">
        <f t="shared" si="0"/>
        <v>24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K12" s="4"/>
      <c r="AL12" s="4"/>
      <c r="AM12" s="4"/>
    </row>
    <row r="13" spans="1:40" hidden="1" x14ac:dyDescent="0.35">
      <c r="A13" s="15">
        <f t="shared" si="1"/>
        <v>112</v>
      </c>
      <c r="B13" s="15">
        <v>1</v>
      </c>
      <c r="C13" s="13" t="s">
        <v>61</v>
      </c>
      <c r="D13" s="13" t="s">
        <v>55</v>
      </c>
      <c r="E13" s="13" t="s">
        <v>1095</v>
      </c>
      <c r="F13" s="9" t="s">
        <v>60</v>
      </c>
      <c r="G13" s="9" t="s">
        <v>56</v>
      </c>
      <c r="H13" s="29" t="str">
        <f t="shared" si="0"/>
        <v>25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K13" s="4"/>
      <c r="AL13" s="4"/>
      <c r="AM13" s="4"/>
    </row>
    <row r="14" spans="1:40" hidden="1" x14ac:dyDescent="0.35">
      <c r="A14" s="15">
        <f t="shared" si="1"/>
        <v>113</v>
      </c>
      <c r="B14" s="15">
        <v>1</v>
      </c>
      <c r="C14" s="13" t="s">
        <v>61</v>
      </c>
      <c r="D14" s="13" t="s">
        <v>19</v>
      </c>
      <c r="E14" s="13" t="s">
        <v>1091</v>
      </c>
      <c r="F14" s="9" t="s">
        <v>60</v>
      </c>
      <c r="G14" s="9" t="s">
        <v>20</v>
      </c>
      <c r="H14" s="29" t="str">
        <f t="shared" si="0"/>
        <v>24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40" hidden="1" x14ac:dyDescent="0.35">
      <c r="A15" s="15">
        <f t="shared" si="1"/>
        <v>114</v>
      </c>
      <c r="B15" s="15">
        <v>1</v>
      </c>
      <c r="C15" s="13" t="s">
        <v>61</v>
      </c>
      <c r="D15" s="13" t="s">
        <v>45</v>
      </c>
      <c r="E15" s="13" t="s">
        <v>1063</v>
      </c>
      <c r="F15" s="9" t="s">
        <v>1118</v>
      </c>
      <c r="G15" s="9" t="s">
        <v>46</v>
      </c>
      <c r="H15" s="29" t="str">
        <f t="shared" si="0"/>
        <v>26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K15" s="4"/>
      <c r="AL15" s="4"/>
      <c r="AM15" s="4"/>
    </row>
    <row r="16" spans="1:40" hidden="1" x14ac:dyDescent="0.35">
      <c r="A16" s="15">
        <f t="shared" si="1"/>
        <v>115</v>
      </c>
      <c r="B16" s="15">
        <v>1</v>
      </c>
      <c r="C16" s="13" t="s">
        <v>61</v>
      </c>
      <c r="D16" s="13" t="s">
        <v>51</v>
      </c>
      <c r="E16" s="13" t="s">
        <v>1069</v>
      </c>
      <c r="F16" s="9" t="s">
        <v>1117</v>
      </c>
      <c r="G16" s="9" t="s">
        <v>52</v>
      </c>
      <c r="H16" s="29" t="str">
        <f t="shared" si="0"/>
        <v>31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K16" s="4"/>
      <c r="AL16" s="4"/>
      <c r="AM16" s="4"/>
    </row>
    <row r="17" spans="1:40" hidden="1" x14ac:dyDescent="0.35">
      <c r="A17" s="15">
        <f t="shared" si="1"/>
        <v>116</v>
      </c>
      <c r="B17" s="15">
        <v>1</v>
      </c>
      <c r="C17" s="13" t="s">
        <v>61</v>
      </c>
      <c r="D17" s="13" t="s">
        <v>31</v>
      </c>
      <c r="E17" s="13" t="s">
        <v>1053</v>
      </c>
      <c r="F17" s="9" t="s">
        <v>1118</v>
      </c>
      <c r="G17" s="9" t="s">
        <v>32</v>
      </c>
      <c r="H17" s="29" t="str">
        <f t="shared" si="0"/>
        <v>30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K17" s="4"/>
      <c r="AL17" s="4"/>
      <c r="AM17" s="4"/>
    </row>
    <row r="18" spans="1:40" hidden="1" x14ac:dyDescent="0.35">
      <c r="A18" s="15">
        <f t="shared" si="1"/>
        <v>117</v>
      </c>
      <c r="B18" s="15">
        <v>1</v>
      </c>
      <c r="C18" s="13" t="s">
        <v>61</v>
      </c>
      <c r="D18" s="13" t="s">
        <v>27</v>
      </c>
      <c r="E18" s="13" t="s">
        <v>1092</v>
      </c>
      <c r="F18" s="9" t="s">
        <v>1122</v>
      </c>
      <c r="G18" s="9" t="s">
        <v>28</v>
      </c>
      <c r="H18" s="29" t="str">
        <f t="shared" si="0"/>
        <v>26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K18" s="4"/>
      <c r="AL18" s="4"/>
      <c r="AM18" s="4"/>
    </row>
    <row r="19" spans="1:40" hidden="1" x14ac:dyDescent="0.35">
      <c r="A19" s="15">
        <f t="shared" si="1"/>
        <v>118</v>
      </c>
      <c r="B19" s="15">
        <v>1</v>
      </c>
      <c r="C19" s="13" t="s">
        <v>61</v>
      </c>
      <c r="D19" s="13" t="s">
        <v>15</v>
      </c>
      <c r="E19" s="13" t="s">
        <v>1069</v>
      </c>
      <c r="F19" s="9" t="s">
        <v>1122</v>
      </c>
      <c r="G19" s="9" t="s">
        <v>16</v>
      </c>
      <c r="H19" s="29" t="str">
        <f t="shared" si="0"/>
        <v>26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K19" s="4"/>
      <c r="AL19" s="4"/>
      <c r="AM19" s="4"/>
    </row>
    <row r="20" spans="1:40" hidden="1" x14ac:dyDescent="0.35">
      <c r="A20" s="15">
        <f t="shared" si="1"/>
        <v>119</v>
      </c>
      <c r="B20" s="15">
        <v>1</v>
      </c>
      <c r="C20" s="13" t="s">
        <v>61</v>
      </c>
      <c r="D20" s="13" t="s">
        <v>47</v>
      </c>
      <c r="E20" s="13" t="s">
        <v>1068</v>
      </c>
      <c r="F20" s="9" t="s">
        <v>1118</v>
      </c>
      <c r="G20" s="9" t="s">
        <v>48</v>
      </c>
      <c r="H20" s="29" t="str">
        <f t="shared" si="0"/>
        <v>15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K20" s="4"/>
      <c r="AL20" s="4"/>
      <c r="AM20" s="4"/>
    </row>
    <row r="21" spans="1:40" hidden="1" x14ac:dyDescent="0.35">
      <c r="A21" s="15">
        <f t="shared" si="1"/>
        <v>120</v>
      </c>
      <c r="B21" s="15">
        <v>1</v>
      </c>
      <c r="C21" s="13" t="s">
        <v>61</v>
      </c>
      <c r="D21" s="13" t="s">
        <v>33</v>
      </c>
      <c r="E21" s="13" t="s">
        <v>1069</v>
      </c>
      <c r="F21" s="9" t="s">
        <v>1122</v>
      </c>
      <c r="G21" s="9" t="s">
        <v>34</v>
      </c>
      <c r="H21" s="29" t="str">
        <f t="shared" si="0"/>
        <v>29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K21" s="4"/>
      <c r="AL21" s="4"/>
      <c r="AM21" s="4"/>
    </row>
    <row r="22" spans="1:40" hidden="1" x14ac:dyDescent="0.35">
      <c r="A22" s="15">
        <f t="shared" si="1"/>
        <v>121</v>
      </c>
      <c r="B22" s="15">
        <v>1</v>
      </c>
      <c r="C22" s="13" t="s">
        <v>61</v>
      </c>
      <c r="D22" s="13" t="s">
        <v>43</v>
      </c>
      <c r="E22" s="13" t="s">
        <v>1068</v>
      </c>
      <c r="F22" s="9" t="s">
        <v>60</v>
      </c>
      <c r="G22" s="9" t="s">
        <v>44</v>
      </c>
      <c r="H22" s="29" t="str">
        <f t="shared" si="0"/>
        <v>19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K22" s="4"/>
      <c r="AL22" s="4"/>
      <c r="AM22" s="4"/>
    </row>
    <row r="23" spans="1:40" hidden="1" x14ac:dyDescent="0.35">
      <c r="A23" s="15">
        <f t="shared" si="1"/>
        <v>122</v>
      </c>
      <c r="B23" s="15">
        <v>1</v>
      </c>
      <c r="C23" s="13" t="s">
        <v>61</v>
      </c>
      <c r="D23" s="13" t="s">
        <v>25</v>
      </c>
      <c r="E23" s="13" t="s">
        <v>1068</v>
      </c>
      <c r="F23" s="9" t="s">
        <v>1118</v>
      </c>
      <c r="G23" s="9" t="s">
        <v>26</v>
      </c>
      <c r="H23" s="29" t="str">
        <f t="shared" si="0"/>
        <v>23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K23" s="4"/>
      <c r="AL23" s="4"/>
      <c r="AM23" s="4"/>
    </row>
    <row r="24" spans="1:40" hidden="1" x14ac:dyDescent="0.35">
      <c r="A24" s="15">
        <f t="shared" si="1"/>
        <v>123</v>
      </c>
      <c r="B24" s="15">
        <v>1</v>
      </c>
      <c r="C24" s="13" t="s">
        <v>61</v>
      </c>
      <c r="D24" s="13" t="s">
        <v>53</v>
      </c>
      <c r="E24" s="13" t="s">
        <v>1066</v>
      </c>
      <c r="F24" s="9" t="s">
        <v>60</v>
      </c>
      <c r="G24" s="9" t="s">
        <v>54</v>
      </c>
      <c r="H24" s="29" t="str">
        <f t="shared" si="0"/>
        <v>23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K24" s="4"/>
      <c r="AL24" s="4"/>
      <c r="AM24" s="4"/>
    </row>
    <row r="25" spans="1:40" hidden="1" x14ac:dyDescent="0.35">
      <c r="A25" s="15">
        <f t="shared" si="1"/>
        <v>124</v>
      </c>
      <c r="B25" s="15">
        <v>1</v>
      </c>
      <c r="C25" s="13" t="s">
        <v>61</v>
      </c>
      <c r="D25" s="13" t="s">
        <v>13</v>
      </c>
      <c r="E25" s="13" t="s">
        <v>1082</v>
      </c>
      <c r="F25" s="9" t="s">
        <v>60</v>
      </c>
      <c r="G25" s="9" t="s">
        <v>14</v>
      </c>
      <c r="H25" s="29" t="str">
        <f t="shared" si="0"/>
        <v>23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K25" s="4"/>
      <c r="AL25" s="4"/>
      <c r="AM25" s="4"/>
    </row>
    <row r="26" spans="1:40" hidden="1" x14ac:dyDescent="0.35">
      <c r="A26" s="15">
        <f t="shared" si="1"/>
        <v>125</v>
      </c>
      <c r="B26" s="15">
        <v>1</v>
      </c>
      <c r="C26" s="13" t="s">
        <v>61</v>
      </c>
      <c r="D26" s="13" t="s">
        <v>11</v>
      </c>
      <c r="E26" s="13" t="s">
        <v>1100</v>
      </c>
      <c r="F26" s="9" t="s">
        <v>1118</v>
      </c>
      <c r="G26" s="9" t="s">
        <v>12</v>
      </c>
      <c r="H26" s="29" t="str">
        <f t="shared" si="0"/>
        <v>27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K26" s="4"/>
      <c r="AL26" s="4"/>
      <c r="AM26" s="4"/>
    </row>
    <row r="27" spans="1:40" hidden="1" x14ac:dyDescent="0.35">
      <c r="A27" s="15">
        <f t="shared" si="1"/>
        <v>126</v>
      </c>
      <c r="B27" s="15">
        <v>1</v>
      </c>
      <c r="C27" s="13" t="s">
        <v>61</v>
      </c>
      <c r="D27" s="13" t="s">
        <v>21</v>
      </c>
      <c r="E27" s="13" t="s">
        <v>1070</v>
      </c>
      <c r="F27" s="9" t="s">
        <v>60</v>
      </c>
      <c r="G27" s="9" t="s">
        <v>22</v>
      </c>
      <c r="H27" s="29" t="str">
        <f t="shared" si="0"/>
        <v>24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K27" s="4"/>
      <c r="AL27" s="4"/>
      <c r="AM27" s="4"/>
    </row>
    <row r="28" spans="1:40" hidden="1" x14ac:dyDescent="0.35">
      <c r="A28" s="15">
        <v>201</v>
      </c>
      <c r="B28" s="15">
        <v>2</v>
      </c>
      <c r="C28" s="13" t="s">
        <v>126</v>
      </c>
      <c r="D28" s="13" t="s">
        <v>102</v>
      </c>
      <c r="E28" s="13" t="s">
        <v>1053</v>
      </c>
      <c r="F28" s="9" t="s">
        <v>1122</v>
      </c>
      <c r="G28" s="9" t="s">
        <v>103</v>
      </c>
      <c r="H28" s="29" t="str">
        <f t="shared" si="0"/>
        <v>24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K28" s="4"/>
      <c r="AL28" s="4"/>
      <c r="AM28" s="4"/>
    </row>
    <row r="29" spans="1:40" hidden="1" x14ac:dyDescent="0.35">
      <c r="A29" s="15">
        <f>A28+1</f>
        <v>202</v>
      </c>
      <c r="B29" s="15">
        <v>2</v>
      </c>
      <c r="C29" s="13" t="s">
        <v>126</v>
      </c>
      <c r="D29" s="13" t="s">
        <v>88</v>
      </c>
      <c r="E29" s="13" t="s">
        <v>1070</v>
      </c>
      <c r="F29" s="9" t="s">
        <v>1122</v>
      </c>
      <c r="G29" s="9" t="s">
        <v>89</v>
      </c>
      <c r="H29" s="29" t="str">
        <f t="shared" si="0"/>
        <v>25</v>
      </c>
      <c r="I29" s="18"/>
      <c r="J29" s="1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5"/>
    </row>
    <row r="30" spans="1:40" hidden="1" x14ac:dyDescent="0.35">
      <c r="A30" s="15">
        <f t="shared" ref="A30:A56" si="2">A29+1</f>
        <v>203</v>
      </c>
      <c r="B30" s="15">
        <v>2</v>
      </c>
      <c r="C30" s="13" t="s">
        <v>126</v>
      </c>
      <c r="D30" s="13" t="s">
        <v>109</v>
      </c>
      <c r="E30" s="13" t="s">
        <v>1068</v>
      </c>
      <c r="F30" s="9" t="s">
        <v>60</v>
      </c>
      <c r="G30" s="9" t="s">
        <v>110</v>
      </c>
      <c r="H30" s="29" t="str">
        <f t="shared" si="0"/>
        <v>17</v>
      </c>
      <c r="I30" s="18"/>
      <c r="J30" s="1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5"/>
    </row>
    <row r="31" spans="1:40" hidden="1" x14ac:dyDescent="0.35">
      <c r="A31" s="15">
        <f t="shared" si="2"/>
        <v>204</v>
      </c>
      <c r="B31" s="15">
        <v>2</v>
      </c>
      <c r="C31" s="13" t="s">
        <v>126</v>
      </c>
      <c r="D31" s="13" t="s">
        <v>98</v>
      </c>
      <c r="E31" s="13" t="s">
        <v>1091</v>
      </c>
      <c r="F31" s="9" t="s">
        <v>1118</v>
      </c>
      <c r="G31" s="9" t="s">
        <v>99</v>
      </c>
      <c r="H31" s="29" t="str">
        <f t="shared" si="0"/>
        <v>26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40" hidden="1" x14ac:dyDescent="0.35">
      <c r="A32" s="15">
        <f t="shared" si="2"/>
        <v>205</v>
      </c>
      <c r="B32" s="15">
        <v>2</v>
      </c>
      <c r="C32" s="13" t="s">
        <v>126</v>
      </c>
      <c r="D32" s="13" t="s">
        <v>94</v>
      </c>
      <c r="E32" s="13" t="s">
        <v>1051</v>
      </c>
      <c r="F32" s="9" t="s">
        <v>1123</v>
      </c>
      <c r="G32" s="9" t="s">
        <v>95</v>
      </c>
      <c r="H32" s="29" t="str">
        <f t="shared" si="0"/>
        <v>28</v>
      </c>
    </row>
    <row r="33" spans="1:8" hidden="1" x14ac:dyDescent="0.35">
      <c r="A33" s="15">
        <f t="shared" si="2"/>
        <v>206</v>
      </c>
      <c r="B33" s="15">
        <v>2</v>
      </c>
      <c r="C33" s="13" t="s">
        <v>126</v>
      </c>
      <c r="D33" s="13" t="s">
        <v>84</v>
      </c>
      <c r="E33" s="13" t="s">
        <v>1051</v>
      </c>
      <c r="F33" s="9" t="s">
        <v>1117</v>
      </c>
      <c r="G33" s="9" t="s">
        <v>85</v>
      </c>
      <c r="H33" s="29" t="str">
        <f t="shared" si="0"/>
        <v>33</v>
      </c>
    </row>
    <row r="34" spans="1:8" hidden="1" x14ac:dyDescent="0.35">
      <c r="A34" s="15">
        <f t="shared" si="2"/>
        <v>207</v>
      </c>
      <c r="B34" s="15">
        <v>2</v>
      </c>
      <c r="C34" s="13" t="s">
        <v>126</v>
      </c>
      <c r="D34" s="13" t="s">
        <v>90</v>
      </c>
      <c r="E34" s="13" t="s">
        <v>1059</v>
      </c>
      <c r="F34" s="9" t="s">
        <v>1118</v>
      </c>
      <c r="G34" s="9" t="s">
        <v>91</v>
      </c>
      <c r="H34" s="29" t="str">
        <f t="shared" si="0"/>
        <v>24</v>
      </c>
    </row>
    <row r="35" spans="1:8" hidden="1" x14ac:dyDescent="0.35">
      <c r="A35" s="15">
        <f t="shared" si="2"/>
        <v>208</v>
      </c>
      <c r="B35" s="15">
        <v>2</v>
      </c>
      <c r="C35" s="13" t="s">
        <v>126</v>
      </c>
      <c r="D35" s="13" t="s">
        <v>78</v>
      </c>
      <c r="E35" s="13" t="s">
        <v>1068</v>
      </c>
      <c r="F35" s="9" t="s">
        <v>60</v>
      </c>
      <c r="G35" s="9" t="s">
        <v>79</v>
      </c>
      <c r="H35" s="29" t="str">
        <f t="shared" si="0"/>
        <v>27</v>
      </c>
    </row>
    <row r="36" spans="1:8" hidden="1" x14ac:dyDescent="0.35">
      <c r="A36" s="15">
        <f t="shared" si="2"/>
        <v>209</v>
      </c>
      <c r="B36" s="15">
        <v>2</v>
      </c>
      <c r="C36" s="13" t="s">
        <v>126</v>
      </c>
      <c r="D36" s="13" t="s">
        <v>105</v>
      </c>
      <c r="E36" s="13" t="s">
        <v>1068</v>
      </c>
      <c r="F36" s="9" t="s">
        <v>1123</v>
      </c>
      <c r="G36" s="9" t="s">
        <v>106</v>
      </c>
      <c r="H36" s="29" t="str">
        <f t="shared" si="0"/>
        <v>22</v>
      </c>
    </row>
    <row r="37" spans="1:8" hidden="1" x14ac:dyDescent="0.35">
      <c r="A37" s="15">
        <f t="shared" si="2"/>
        <v>210</v>
      </c>
      <c r="B37" s="15">
        <v>2</v>
      </c>
      <c r="C37" s="13" t="s">
        <v>126</v>
      </c>
      <c r="D37" s="13" t="s">
        <v>104</v>
      </c>
      <c r="E37" s="13" t="s">
        <v>1091</v>
      </c>
      <c r="F37" s="9" t="s">
        <v>60</v>
      </c>
      <c r="G37" s="9" t="s">
        <v>26</v>
      </c>
      <c r="H37" s="29" t="str">
        <f t="shared" si="0"/>
        <v>23</v>
      </c>
    </row>
    <row r="38" spans="1:8" hidden="1" x14ac:dyDescent="0.35">
      <c r="A38" s="15">
        <f t="shared" si="2"/>
        <v>211</v>
      </c>
      <c r="B38" s="15">
        <v>2</v>
      </c>
      <c r="C38" s="13" t="s">
        <v>126</v>
      </c>
      <c r="D38" s="13" t="s">
        <v>111</v>
      </c>
      <c r="E38" s="13" t="s">
        <v>1068</v>
      </c>
      <c r="F38" s="9" t="s">
        <v>1118</v>
      </c>
      <c r="G38" s="9" t="s">
        <v>112</v>
      </c>
      <c r="H38" s="29" t="str">
        <f t="shared" si="0"/>
        <v>25</v>
      </c>
    </row>
    <row r="39" spans="1:8" hidden="1" x14ac:dyDescent="0.35">
      <c r="A39" s="15">
        <f t="shared" si="2"/>
        <v>212</v>
      </c>
      <c r="B39" s="15">
        <v>2</v>
      </c>
      <c r="C39" s="13" t="s">
        <v>126</v>
      </c>
      <c r="D39" s="13" t="s">
        <v>117</v>
      </c>
      <c r="E39" s="13" t="s">
        <v>1068</v>
      </c>
      <c r="F39" s="9" t="s">
        <v>1122</v>
      </c>
      <c r="G39" s="9" t="s">
        <v>118</v>
      </c>
      <c r="H39" s="29" t="str">
        <f t="shared" si="0"/>
        <v>19</v>
      </c>
    </row>
    <row r="40" spans="1:8" hidden="1" x14ac:dyDescent="0.35">
      <c r="A40" s="15">
        <f t="shared" si="2"/>
        <v>213</v>
      </c>
      <c r="B40" s="15">
        <v>2</v>
      </c>
      <c r="C40" s="13" t="s">
        <v>126</v>
      </c>
      <c r="D40" s="13" t="s">
        <v>125</v>
      </c>
      <c r="E40" s="13" t="s">
        <v>1068</v>
      </c>
      <c r="F40" s="9" t="s">
        <v>1117</v>
      </c>
      <c r="G40" s="9" t="s">
        <v>1114</v>
      </c>
      <c r="H40" s="29" t="str">
        <f t="shared" si="0"/>
        <v>20</v>
      </c>
    </row>
    <row r="41" spans="1:8" hidden="1" x14ac:dyDescent="0.35">
      <c r="A41" s="15">
        <f t="shared" si="2"/>
        <v>214</v>
      </c>
      <c r="B41" s="15">
        <v>2</v>
      </c>
      <c r="C41" s="13" t="s">
        <v>126</v>
      </c>
      <c r="D41" s="13" t="s">
        <v>76</v>
      </c>
      <c r="E41" s="13" t="s">
        <v>1099</v>
      </c>
      <c r="F41" s="9" t="s">
        <v>1123</v>
      </c>
      <c r="G41" s="9" t="s">
        <v>77</v>
      </c>
      <c r="H41" s="29" t="str">
        <f t="shared" si="0"/>
        <v>30</v>
      </c>
    </row>
    <row r="42" spans="1:8" hidden="1" x14ac:dyDescent="0.35">
      <c r="A42" s="15">
        <f t="shared" si="2"/>
        <v>215</v>
      </c>
      <c r="B42" s="15">
        <v>2</v>
      </c>
      <c r="C42" s="13" t="s">
        <v>126</v>
      </c>
      <c r="D42" s="13" t="s">
        <v>92</v>
      </c>
      <c r="E42" s="13" t="s">
        <v>1091</v>
      </c>
      <c r="F42" s="9" t="s">
        <v>1122</v>
      </c>
      <c r="G42" s="9" t="s">
        <v>93</v>
      </c>
      <c r="H42" s="29" t="str">
        <f t="shared" si="0"/>
        <v>21</v>
      </c>
    </row>
    <row r="43" spans="1:8" hidden="1" x14ac:dyDescent="0.35">
      <c r="A43" s="15">
        <f t="shared" si="2"/>
        <v>216</v>
      </c>
      <c r="B43" s="15">
        <v>2</v>
      </c>
      <c r="C43" s="13" t="s">
        <v>126</v>
      </c>
      <c r="D43" s="13" t="s">
        <v>80</v>
      </c>
      <c r="E43" s="13" t="s">
        <v>1070</v>
      </c>
      <c r="F43" s="9" t="s">
        <v>60</v>
      </c>
      <c r="G43" s="9" t="s">
        <v>81</v>
      </c>
      <c r="H43" s="29" t="str">
        <f t="shared" si="0"/>
        <v>32</v>
      </c>
    </row>
    <row r="44" spans="1:8" hidden="1" x14ac:dyDescent="0.35">
      <c r="A44" s="15">
        <f t="shared" si="2"/>
        <v>217</v>
      </c>
      <c r="B44" s="15">
        <v>2</v>
      </c>
      <c r="C44" s="13" t="s">
        <v>126</v>
      </c>
      <c r="D44" s="13" t="s">
        <v>100</v>
      </c>
      <c r="E44" s="13" t="s">
        <v>1091</v>
      </c>
      <c r="F44" s="9" t="s">
        <v>1117</v>
      </c>
      <c r="G44" s="9" t="s">
        <v>101</v>
      </c>
      <c r="H44" s="29" t="str">
        <f t="shared" si="0"/>
        <v>34</v>
      </c>
    </row>
    <row r="45" spans="1:8" hidden="1" x14ac:dyDescent="0.35">
      <c r="A45" s="15">
        <f t="shared" si="2"/>
        <v>218</v>
      </c>
      <c r="B45" s="15">
        <v>2</v>
      </c>
      <c r="C45" s="13" t="s">
        <v>126</v>
      </c>
      <c r="D45" s="13" t="s">
        <v>72</v>
      </c>
      <c r="E45" s="13" t="s">
        <v>1095</v>
      </c>
      <c r="F45" s="9" t="s">
        <v>60</v>
      </c>
      <c r="G45" s="9" t="s">
        <v>73</v>
      </c>
      <c r="H45" s="29" t="str">
        <f t="shared" si="0"/>
        <v>28</v>
      </c>
    </row>
    <row r="46" spans="1:8" hidden="1" x14ac:dyDescent="0.35">
      <c r="A46" s="15">
        <f t="shared" si="2"/>
        <v>219</v>
      </c>
      <c r="B46" s="15">
        <v>2</v>
      </c>
      <c r="C46" s="13" t="s">
        <v>126</v>
      </c>
      <c r="D46" s="13" t="s">
        <v>70</v>
      </c>
      <c r="E46" s="13" t="s">
        <v>1068</v>
      </c>
      <c r="F46" s="9" t="s">
        <v>1124</v>
      </c>
      <c r="G46" s="9" t="s">
        <v>71</v>
      </c>
      <c r="H46" s="29" t="str">
        <f t="shared" si="0"/>
        <v>23</v>
      </c>
    </row>
    <row r="47" spans="1:8" hidden="1" x14ac:dyDescent="0.35">
      <c r="A47" s="15">
        <f t="shared" si="2"/>
        <v>220</v>
      </c>
      <c r="B47" s="15">
        <v>2</v>
      </c>
      <c r="C47" s="13" t="s">
        <v>126</v>
      </c>
      <c r="D47" s="13" t="s">
        <v>74</v>
      </c>
      <c r="E47" s="13" t="s">
        <v>1068</v>
      </c>
      <c r="F47" s="9" t="s">
        <v>1118</v>
      </c>
      <c r="G47" s="9" t="s">
        <v>75</v>
      </c>
      <c r="H47" s="29" t="str">
        <f t="shared" si="0"/>
        <v>29</v>
      </c>
    </row>
    <row r="48" spans="1:8" hidden="1" x14ac:dyDescent="0.35">
      <c r="A48" s="15">
        <f t="shared" si="2"/>
        <v>221</v>
      </c>
      <c r="B48" s="15">
        <v>2</v>
      </c>
      <c r="C48" s="13" t="s">
        <v>126</v>
      </c>
      <c r="D48" s="13" t="s">
        <v>96</v>
      </c>
      <c r="E48" s="13" t="s">
        <v>1069</v>
      </c>
      <c r="F48" s="9" t="s">
        <v>60</v>
      </c>
      <c r="G48" s="9" t="s">
        <v>97</v>
      </c>
      <c r="H48" s="29" t="str">
        <f t="shared" si="0"/>
        <v>28</v>
      </c>
    </row>
    <row r="49" spans="1:8" hidden="1" x14ac:dyDescent="0.35">
      <c r="A49" s="15">
        <f t="shared" si="2"/>
        <v>222</v>
      </c>
      <c r="B49" s="15">
        <v>2</v>
      </c>
      <c r="C49" s="13" t="s">
        <v>126</v>
      </c>
      <c r="D49" s="13" t="s">
        <v>113</v>
      </c>
      <c r="E49" s="13" t="s">
        <v>1068</v>
      </c>
      <c r="F49" s="9" t="s">
        <v>1122</v>
      </c>
      <c r="G49" s="9" t="s">
        <v>114</v>
      </c>
      <c r="H49" s="29" t="str">
        <f t="shared" si="0"/>
        <v>31</v>
      </c>
    </row>
    <row r="50" spans="1:8" hidden="1" x14ac:dyDescent="0.35">
      <c r="A50" s="15">
        <f t="shared" si="2"/>
        <v>223</v>
      </c>
      <c r="B50" s="15">
        <v>2</v>
      </c>
      <c r="C50" s="13" t="s">
        <v>126</v>
      </c>
      <c r="D50" s="13" t="s">
        <v>121</v>
      </c>
      <c r="E50" s="13" t="s">
        <v>1068</v>
      </c>
      <c r="F50" s="9" t="s">
        <v>1117</v>
      </c>
      <c r="G50" s="9" t="s">
        <v>122</v>
      </c>
      <c r="H50" s="29" t="str">
        <f t="shared" si="0"/>
        <v>18</v>
      </c>
    </row>
    <row r="51" spans="1:8" hidden="1" x14ac:dyDescent="0.35">
      <c r="A51" s="15">
        <f t="shared" si="2"/>
        <v>224</v>
      </c>
      <c r="B51" s="15">
        <v>2</v>
      </c>
      <c r="C51" s="13" t="s">
        <v>126</v>
      </c>
      <c r="D51" s="13" t="s">
        <v>115</v>
      </c>
      <c r="E51" s="13" t="s">
        <v>1068</v>
      </c>
      <c r="F51" s="9" t="s">
        <v>60</v>
      </c>
      <c r="G51" s="9" t="s">
        <v>116</v>
      </c>
      <c r="H51" s="29" t="str">
        <f t="shared" si="0"/>
        <v>22</v>
      </c>
    </row>
    <row r="52" spans="1:8" hidden="1" x14ac:dyDescent="0.35">
      <c r="A52" s="15">
        <f t="shared" si="2"/>
        <v>225</v>
      </c>
      <c r="B52" s="15">
        <v>2</v>
      </c>
      <c r="C52" s="13" t="s">
        <v>126</v>
      </c>
      <c r="D52" s="13" t="s">
        <v>119</v>
      </c>
      <c r="E52" s="13" t="s">
        <v>1068</v>
      </c>
      <c r="F52" s="9" t="s">
        <v>60</v>
      </c>
      <c r="G52" s="9" t="s">
        <v>120</v>
      </c>
      <c r="H52" s="29" t="str">
        <f t="shared" si="0"/>
        <v>20</v>
      </c>
    </row>
    <row r="53" spans="1:8" hidden="1" x14ac:dyDescent="0.35">
      <c r="A53" s="15">
        <f t="shared" si="2"/>
        <v>226</v>
      </c>
      <c r="B53" s="15">
        <v>2</v>
      </c>
      <c r="C53" s="13" t="s">
        <v>126</v>
      </c>
      <c r="D53" s="13" t="s">
        <v>123</v>
      </c>
      <c r="E53" s="13" t="s">
        <v>1068</v>
      </c>
      <c r="F53" s="9" t="s">
        <v>60</v>
      </c>
      <c r="G53" s="9" t="s">
        <v>124</v>
      </c>
      <c r="H53" s="29" t="str">
        <f t="shared" si="0"/>
        <v>19</v>
      </c>
    </row>
    <row r="54" spans="1:8" hidden="1" x14ac:dyDescent="0.35">
      <c r="A54" s="15">
        <f t="shared" si="2"/>
        <v>227</v>
      </c>
      <c r="B54" s="15">
        <v>2</v>
      </c>
      <c r="C54" s="13" t="s">
        <v>126</v>
      </c>
      <c r="D54" s="13" t="s">
        <v>82</v>
      </c>
      <c r="E54" s="13" t="s">
        <v>1068</v>
      </c>
      <c r="F54" s="9" t="s">
        <v>60</v>
      </c>
      <c r="G54" s="9" t="s">
        <v>83</v>
      </c>
      <c r="H54" s="29" t="str">
        <f t="shared" si="0"/>
        <v>32</v>
      </c>
    </row>
    <row r="55" spans="1:8" hidden="1" x14ac:dyDescent="0.35">
      <c r="A55" s="15">
        <f t="shared" si="2"/>
        <v>228</v>
      </c>
      <c r="B55" s="15">
        <v>2</v>
      </c>
      <c r="C55" s="13" t="s">
        <v>126</v>
      </c>
      <c r="D55" s="13" t="s">
        <v>107</v>
      </c>
      <c r="E55" s="13" t="s">
        <v>1100</v>
      </c>
      <c r="F55" s="9" t="s">
        <v>1125</v>
      </c>
      <c r="G55" s="9" t="s">
        <v>108</v>
      </c>
      <c r="H55" s="29" t="str">
        <f t="shared" si="0"/>
        <v>31</v>
      </c>
    </row>
    <row r="56" spans="1:8" hidden="1" x14ac:dyDescent="0.35">
      <c r="A56" s="15">
        <f t="shared" si="2"/>
        <v>229</v>
      </c>
      <c r="B56" s="15">
        <v>2</v>
      </c>
      <c r="C56" s="13" t="s">
        <v>126</v>
      </c>
      <c r="D56" s="13" t="s">
        <v>86</v>
      </c>
      <c r="E56" s="13" t="s">
        <v>1053</v>
      </c>
      <c r="F56" s="9" t="s">
        <v>1122</v>
      </c>
      <c r="G56" s="9" t="s">
        <v>87</v>
      </c>
      <c r="H56" s="29" t="str">
        <f t="shared" si="0"/>
        <v>28</v>
      </c>
    </row>
    <row r="57" spans="1:8" hidden="1" x14ac:dyDescent="0.35">
      <c r="A57" s="15">
        <v>301</v>
      </c>
      <c r="B57" s="15">
        <v>3</v>
      </c>
      <c r="C57" s="13" t="s">
        <v>183</v>
      </c>
      <c r="D57" s="13" t="s">
        <v>147</v>
      </c>
      <c r="E57" s="13" t="s">
        <v>1068</v>
      </c>
      <c r="F57" s="9" t="s">
        <v>60</v>
      </c>
      <c r="G57" s="9" t="s">
        <v>148</v>
      </c>
      <c r="H57" s="29" t="str">
        <f t="shared" si="0"/>
        <v>34</v>
      </c>
    </row>
    <row r="58" spans="1:8" hidden="1" x14ac:dyDescent="0.35">
      <c r="A58" s="15">
        <f>A57+1</f>
        <v>302</v>
      </c>
      <c r="B58" s="15">
        <v>3</v>
      </c>
      <c r="C58" s="13" t="s">
        <v>183</v>
      </c>
      <c r="D58" s="13" t="s">
        <v>131</v>
      </c>
      <c r="E58" s="13" t="s">
        <v>1070</v>
      </c>
      <c r="F58" s="9" t="s">
        <v>60</v>
      </c>
      <c r="G58" s="9" t="s">
        <v>132</v>
      </c>
      <c r="H58" s="29" t="str">
        <f t="shared" si="0"/>
        <v>23</v>
      </c>
    </row>
    <row r="59" spans="1:8" hidden="1" x14ac:dyDescent="0.35">
      <c r="A59" s="15">
        <f t="shared" ref="A59:A84" si="3">A58+1</f>
        <v>303</v>
      </c>
      <c r="B59" s="15">
        <v>3</v>
      </c>
      <c r="C59" s="13" t="s">
        <v>183</v>
      </c>
      <c r="D59" s="13" t="s">
        <v>151</v>
      </c>
      <c r="E59" s="13" t="s">
        <v>1069</v>
      </c>
      <c r="F59" s="9" t="s">
        <v>60</v>
      </c>
      <c r="G59" s="9" t="s">
        <v>152</v>
      </c>
      <c r="H59" s="29" t="str">
        <f t="shared" si="0"/>
        <v>20</v>
      </c>
    </row>
    <row r="60" spans="1:8" hidden="1" x14ac:dyDescent="0.35">
      <c r="A60" s="15">
        <f t="shared" si="3"/>
        <v>304</v>
      </c>
      <c r="B60" s="15">
        <v>3</v>
      </c>
      <c r="C60" s="13" t="s">
        <v>183</v>
      </c>
      <c r="D60" s="13" t="s">
        <v>145</v>
      </c>
      <c r="E60" s="13" t="s">
        <v>1068</v>
      </c>
      <c r="F60" s="9" t="s">
        <v>1122</v>
      </c>
      <c r="G60" s="9" t="s">
        <v>146</v>
      </c>
      <c r="H60" s="29" t="str">
        <f t="shared" si="0"/>
        <v>22</v>
      </c>
    </row>
    <row r="61" spans="1:8" hidden="1" x14ac:dyDescent="0.35">
      <c r="A61" s="15">
        <f t="shared" si="3"/>
        <v>305</v>
      </c>
      <c r="B61" s="15">
        <v>3</v>
      </c>
      <c r="C61" s="13" t="s">
        <v>183</v>
      </c>
      <c r="D61" s="13" t="s">
        <v>157</v>
      </c>
      <c r="E61" s="13" t="s">
        <v>1086</v>
      </c>
      <c r="F61" s="9" t="s">
        <v>1124</v>
      </c>
      <c r="G61" s="9" t="s">
        <v>158</v>
      </c>
      <c r="H61" s="29" t="str">
        <f t="shared" si="0"/>
        <v>25</v>
      </c>
    </row>
    <row r="62" spans="1:8" hidden="1" x14ac:dyDescent="0.35">
      <c r="A62" s="15">
        <f t="shared" si="3"/>
        <v>306</v>
      </c>
      <c r="B62" s="15">
        <v>3</v>
      </c>
      <c r="C62" s="13" t="s">
        <v>183</v>
      </c>
      <c r="D62" s="13" t="s">
        <v>129</v>
      </c>
      <c r="E62" s="13" t="s">
        <v>1072</v>
      </c>
      <c r="F62" s="9" t="s">
        <v>1124</v>
      </c>
      <c r="G62" s="9" t="s">
        <v>130</v>
      </c>
      <c r="H62" s="29" t="str">
        <f t="shared" si="0"/>
        <v>25</v>
      </c>
    </row>
    <row r="63" spans="1:8" hidden="1" x14ac:dyDescent="0.35">
      <c r="A63" s="15">
        <f t="shared" si="3"/>
        <v>307</v>
      </c>
      <c r="B63" s="15">
        <v>3</v>
      </c>
      <c r="C63" s="13" t="s">
        <v>183</v>
      </c>
      <c r="D63" s="13" t="s">
        <v>139</v>
      </c>
      <c r="E63" s="13" t="s">
        <v>1070</v>
      </c>
      <c r="F63" s="9" t="s">
        <v>60</v>
      </c>
      <c r="G63" s="9" t="s">
        <v>140</v>
      </c>
      <c r="H63" s="29" t="str">
        <f t="shared" si="0"/>
        <v>24</v>
      </c>
    </row>
    <row r="64" spans="1:8" hidden="1" x14ac:dyDescent="0.35">
      <c r="A64" s="15">
        <f t="shared" si="3"/>
        <v>308</v>
      </c>
      <c r="B64" s="15">
        <v>3</v>
      </c>
      <c r="C64" s="13" t="s">
        <v>183</v>
      </c>
      <c r="D64" s="13" t="s">
        <v>161</v>
      </c>
      <c r="E64" s="13" t="s">
        <v>1099</v>
      </c>
      <c r="F64" s="9" t="s">
        <v>1118</v>
      </c>
      <c r="G64" s="9" t="s">
        <v>162</v>
      </c>
      <c r="H64" s="29" t="str">
        <f t="shared" si="0"/>
        <v>19</v>
      </c>
    </row>
    <row r="65" spans="1:8" hidden="1" x14ac:dyDescent="0.35">
      <c r="A65" s="15">
        <f t="shared" si="3"/>
        <v>309</v>
      </c>
      <c r="B65" s="15">
        <v>3</v>
      </c>
      <c r="C65" s="13" t="s">
        <v>183</v>
      </c>
      <c r="D65" s="13" t="s">
        <v>167</v>
      </c>
      <c r="E65" s="13" t="s">
        <v>1068</v>
      </c>
      <c r="F65" s="9" t="s">
        <v>1122</v>
      </c>
      <c r="G65" s="9" t="s">
        <v>168</v>
      </c>
      <c r="H65" s="29" t="str">
        <f t="shared" si="0"/>
        <v>21</v>
      </c>
    </row>
    <row r="66" spans="1:8" hidden="1" x14ac:dyDescent="0.35">
      <c r="A66" s="15">
        <f t="shared" si="3"/>
        <v>310</v>
      </c>
      <c r="B66" s="15">
        <v>3</v>
      </c>
      <c r="C66" s="13" t="s">
        <v>183</v>
      </c>
      <c r="D66" s="13" t="s">
        <v>143</v>
      </c>
      <c r="E66" s="13" t="s">
        <v>1111</v>
      </c>
      <c r="F66" s="9" t="s">
        <v>1124</v>
      </c>
      <c r="G66" s="9" t="s">
        <v>144</v>
      </c>
      <c r="H66" s="29" t="str">
        <f t="shared" ref="H66:H129" si="4">LEFT(G66,2)</f>
        <v>28</v>
      </c>
    </row>
    <row r="67" spans="1:8" hidden="1" x14ac:dyDescent="0.35">
      <c r="A67" s="15">
        <f t="shared" si="3"/>
        <v>311</v>
      </c>
      <c r="B67" s="15">
        <v>3</v>
      </c>
      <c r="C67" s="13" t="s">
        <v>183</v>
      </c>
      <c r="D67" s="13" t="s">
        <v>127</v>
      </c>
      <c r="E67" s="13" t="s">
        <v>1098</v>
      </c>
      <c r="F67" s="9" t="s">
        <v>1117</v>
      </c>
      <c r="G67" s="9" t="s">
        <v>128</v>
      </c>
      <c r="H67" s="29" t="str">
        <f t="shared" si="4"/>
        <v>26</v>
      </c>
    </row>
    <row r="68" spans="1:8" hidden="1" x14ac:dyDescent="0.35">
      <c r="A68" s="15">
        <f t="shared" si="3"/>
        <v>312</v>
      </c>
      <c r="B68" s="15">
        <v>3</v>
      </c>
      <c r="C68" s="13" t="s">
        <v>183</v>
      </c>
      <c r="D68" s="13" t="s">
        <v>163</v>
      </c>
      <c r="E68" s="13" t="s">
        <v>1070</v>
      </c>
      <c r="F68" s="9" t="s">
        <v>1124</v>
      </c>
      <c r="G68" s="9" t="s">
        <v>164</v>
      </c>
      <c r="H68" s="29" t="str">
        <f t="shared" si="4"/>
        <v>19</v>
      </c>
    </row>
    <row r="69" spans="1:8" hidden="1" x14ac:dyDescent="0.35">
      <c r="A69" s="15">
        <f t="shared" si="3"/>
        <v>313</v>
      </c>
      <c r="B69" s="15">
        <v>3</v>
      </c>
      <c r="C69" s="13" t="s">
        <v>183</v>
      </c>
      <c r="D69" s="13" t="s">
        <v>135</v>
      </c>
      <c r="E69" s="13" t="s">
        <v>1056</v>
      </c>
      <c r="F69" s="9" t="s">
        <v>1118</v>
      </c>
      <c r="G69" s="9" t="s">
        <v>136</v>
      </c>
      <c r="H69" s="29" t="str">
        <f t="shared" si="4"/>
        <v>26</v>
      </c>
    </row>
    <row r="70" spans="1:8" hidden="1" x14ac:dyDescent="0.35">
      <c r="A70" s="15">
        <f t="shared" si="3"/>
        <v>314</v>
      </c>
      <c r="B70" s="15">
        <v>3</v>
      </c>
      <c r="C70" s="13" t="s">
        <v>183</v>
      </c>
      <c r="D70" s="13" t="s">
        <v>165</v>
      </c>
      <c r="E70" s="13" t="s">
        <v>1059</v>
      </c>
      <c r="F70" s="9" t="s">
        <v>1122</v>
      </c>
      <c r="G70" s="9" t="s">
        <v>166</v>
      </c>
      <c r="H70" s="29" t="str">
        <f t="shared" si="4"/>
        <v>25</v>
      </c>
    </row>
    <row r="71" spans="1:8" hidden="1" x14ac:dyDescent="0.35">
      <c r="A71" s="15">
        <f t="shared" si="3"/>
        <v>315</v>
      </c>
      <c r="B71" s="15">
        <v>3</v>
      </c>
      <c r="C71" s="13" t="s">
        <v>183</v>
      </c>
      <c r="D71" s="13" t="s">
        <v>149</v>
      </c>
      <c r="E71" s="13" t="s">
        <v>1068</v>
      </c>
      <c r="F71" s="9" t="s">
        <v>60</v>
      </c>
      <c r="G71" s="9" t="s">
        <v>150</v>
      </c>
      <c r="H71" s="29" t="str">
        <f t="shared" si="4"/>
        <v>23</v>
      </c>
    </row>
    <row r="72" spans="1:8" hidden="1" x14ac:dyDescent="0.35">
      <c r="A72" s="15">
        <f t="shared" si="3"/>
        <v>316</v>
      </c>
      <c r="B72" s="15">
        <v>3</v>
      </c>
      <c r="C72" s="13" t="s">
        <v>183</v>
      </c>
      <c r="D72" s="13" t="s">
        <v>173</v>
      </c>
      <c r="E72" s="13" t="s">
        <v>1087</v>
      </c>
      <c r="F72" s="9" t="s">
        <v>60</v>
      </c>
      <c r="G72" s="9" t="s">
        <v>174</v>
      </c>
      <c r="H72" s="29" t="str">
        <f t="shared" si="4"/>
        <v>24</v>
      </c>
    </row>
    <row r="73" spans="1:8" hidden="1" x14ac:dyDescent="0.35">
      <c r="A73" s="15">
        <f t="shared" si="3"/>
        <v>317</v>
      </c>
      <c r="B73" s="15">
        <v>3</v>
      </c>
      <c r="C73" s="13" t="s">
        <v>183</v>
      </c>
      <c r="D73" s="13" t="s">
        <v>171</v>
      </c>
      <c r="E73" s="13" t="s">
        <v>1051</v>
      </c>
      <c r="F73" s="9" t="s">
        <v>1118</v>
      </c>
      <c r="G73" s="9" t="s">
        <v>172</v>
      </c>
      <c r="H73" s="29" t="str">
        <f t="shared" si="4"/>
        <v>20</v>
      </c>
    </row>
    <row r="74" spans="1:8" hidden="1" x14ac:dyDescent="0.35">
      <c r="A74" s="15">
        <f t="shared" si="3"/>
        <v>318</v>
      </c>
      <c r="B74" s="15">
        <v>3</v>
      </c>
      <c r="C74" s="13" t="s">
        <v>183</v>
      </c>
      <c r="D74" s="13" t="s">
        <v>153</v>
      </c>
      <c r="E74" s="13" t="s">
        <v>1091</v>
      </c>
      <c r="F74" s="9" t="s">
        <v>1122</v>
      </c>
      <c r="G74" s="9" t="s">
        <v>154</v>
      </c>
      <c r="H74" s="29" t="str">
        <f t="shared" si="4"/>
        <v>26</v>
      </c>
    </row>
    <row r="75" spans="1:8" hidden="1" x14ac:dyDescent="0.35">
      <c r="A75" s="15">
        <f t="shared" si="3"/>
        <v>319</v>
      </c>
      <c r="B75" s="15">
        <v>3</v>
      </c>
      <c r="C75" s="13" t="s">
        <v>183</v>
      </c>
      <c r="D75" s="13" t="s">
        <v>169</v>
      </c>
      <c r="E75" s="13" t="s">
        <v>1068</v>
      </c>
      <c r="F75" s="9" t="s">
        <v>1122</v>
      </c>
      <c r="G75" s="9" t="s">
        <v>170</v>
      </c>
      <c r="H75" s="29" t="str">
        <f t="shared" si="4"/>
        <v>28</v>
      </c>
    </row>
    <row r="76" spans="1:8" hidden="1" x14ac:dyDescent="0.35">
      <c r="A76" s="15">
        <f t="shared" si="3"/>
        <v>320</v>
      </c>
      <c r="B76" s="15">
        <v>3</v>
      </c>
      <c r="C76" s="13" t="s">
        <v>183</v>
      </c>
      <c r="D76" s="13" t="s">
        <v>133</v>
      </c>
      <c r="E76" s="13" t="s">
        <v>1051</v>
      </c>
      <c r="F76" s="9" t="s">
        <v>60</v>
      </c>
      <c r="G76" s="9" t="s">
        <v>134</v>
      </c>
      <c r="H76" s="29" t="str">
        <f t="shared" si="4"/>
        <v>28</v>
      </c>
    </row>
    <row r="77" spans="1:8" hidden="1" x14ac:dyDescent="0.35">
      <c r="A77" s="15">
        <f t="shared" si="3"/>
        <v>321</v>
      </c>
      <c r="B77" s="15">
        <v>3</v>
      </c>
      <c r="C77" s="13" t="s">
        <v>183</v>
      </c>
      <c r="D77" s="13" t="s">
        <v>141</v>
      </c>
      <c r="E77" s="13" t="s">
        <v>1068</v>
      </c>
      <c r="F77" s="9" t="s">
        <v>1122</v>
      </c>
      <c r="G77" s="9" t="s">
        <v>142</v>
      </c>
      <c r="H77" s="29" t="str">
        <f t="shared" si="4"/>
        <v>26</v>
      </c>
    </row>
    <row r="78" spans="1:8" hidden="1" x14ac:dyDescent="0.35">
      <c r="A78" s="15">
        <f t="shared" si="3"/>
        <v>322</v>
      </c>
      <c r="B78" s="15">
        <v>3</v>
      </c>
      <c r="C78" s="13" t="s">
        <v>183</v>
      </c>
      <c r="D78" s="13" t="s">
        <v>175</v>
      </c>
      <c r="E78" s="13" t="s">
        <v>1064</v>
      </c>
      <c r="F78" s="9" t="s">
        <v>1122</v>
      </c>
      <c r="G78" s="9" t="s">
        <v>176</v>
      </c>
      <c r="H78" s="29" t="str">
        <f t="shared" si="4"/>
        <v>29</v>
      </c>
    </row>
    <row r="79" spans="1:8" hidden="1" x14ac:dyDescent="0.35">
      <c r="A79" s="15">
        <f t="shared" si="3"/>
        <v>323</v>
      </c>
      <c r="B79" s="15">
        <v>3</v>
      </c>
      <c r="C79" s="13" t="s">
        <v>183</v>
      </c>
      <c r="D79" s="13" t="s">
        <v>181</v>
      </c>
      <c r="E79" s="13" t="s">
        <v>1068</v>
      </c>
      <c r="F79" s="9" t="s">
        <v>1118</v>
      </c>
      <c r="G79" s="9" t="s">
        <v>182</v>
      </c>
      <c r="H79" s="29" t="str">
        <f t="shared" si="4"/>
        <v>19</v>
      </c>
    </row>
    <row r="80" spans="1:8" hidden="1" x14ac:dyDescent="0.35">
      <c r="A80" s="15">
        <f t="shared" si="3"/>
        <v>324</v>
      </c>
      <c r="B80" s="15">
        <v>3</v>
      </c>
      <c r="C80" s="13" t="s">
        <v>183</v>
      </c>
      <c r="D80" s="13" t="s">
        <v>179</v>
      </c>
      <c r="E80" s="13" t="s">
        <v>1070</v>
      </c>
      <c r="F80" s="9" t="s">
        <v>1124</v>
      </c>
      <c r="G80" s="9" t="s">
        <v>180</v>
      </c>
      <c r="H80" s="29" t="str">
        <f t="shared" si="4"/>
        <v>27</v>
      </c>
    </row>
    <row r="81" spans="1:8" hidden="1" x14ac:dyDescent="0.35">
      <c r="A81" s="15">
        <f t="shared" si="3"/>
        <v>325</v>
      </c>
      <c r="B81" s="15">
        <v>3</v>
      </c>
      <c r="C81" s="13" t="s">
        <v>183</v>
      </c>
      <c r="D81" s="13" t="s">
        <v>155</v>
      </c>
      <c r="E81" s="13" t="s">
        <v>1099</v>
      </c>
      <c r="F81" s="9" t="s">
        <v>1122</v>
      </c>
      <c r="G81" s="9" t="s">
        <v>156</v>
      </c>
      <c r="H81" s="29" t="str">
        <f t="shared" si="4"/>
        <v>30</v>
      </c>
    </row>
    <row r="82" spans="1:8" hidden="1" x14ac:dyDescent="0.35">
      <c r="A82" s="15">
        <f t="shared" si="3"/>
        <v>326</v>
      </c>
      <c r="B82" s="15">
        <v>3</v>
      </c>
      <c r="C82" s="13" t="s">
        <v>183</v>
      </c>
      <c r="D82" s="13" t="s">
        <v>137</v>
      </c>
      <c r="E82" s="13" t="s">
        <v>1108</v>
      </c>
      <c r="F82" s="9" t="s">
        <v>1122</v>
      </c>
      <c r="G82" s="9" t="s">
        <v>138</v>
      </c>
      <c r="H82" s="29" t="str">
        <f t="shared" si="4"/>
        <v>26</v>
      </c>
    </row>
    <row r="83" spans="1:8" hidden="1" x14ac:dyDescent="0.35">
      <c r="A83" s="15">
        <f t="shared" si="3"/>
        <v>327</v>
      </c>
      <c r="B83" s="15">
        <v>3</v>
      </c>
      <c r="C83" s="13" t="s">
        <v>183</v>
      </c>
      <c r="D83" s="13" t="s">
        <v>159</v>
      </c>
      <c r="E83" s="13" t="s">
        <v>1098</v>
      </c>
      <c r="F83" s="9" t="s">
        <v>60</v>
      </c>
      <c r="G83" s="9" t="s">
        <v>160</v>
      </c>
      <c r="H83" s="29" t="str">
        <f t="shared" si="4"/>
        <v>18</v>
      </c>
    </row>
    <row r="84" spans="1:8" hidden="1" x14ac:dyDescent="0.35">
      <c r="A84" s="15">
        <f t="shared" si="3"/>
        <v>328</v>
      </c>
      <c r="B84" s="15">
        <v>3</v>
      </c>
      <c r="C84" s="13" t="s">
        <v>183</v>
      </c>
      <c r="D84" s="13" t="s">
        <v>177</v>
      </c>
      <c r="E84" s="13" t="s">
        <v>1068</v>
      </c>
      <c r="F84" s="9" t="s">
        <v>1117</v>
      </c>
      <c r="G84" s="9" t="s">
        <v>178</v>
      </c>
      <c r="H84" s="29" t="str">
        <f t="shared" si="4"/>
        <v>25</v>
      </c>
    </row>
    <row r="85" spans="1:8" hidden="1" x14ac:dyDescent="0.35">
      <c r="A85" s="15">
        <v>401</v>
      </c>
      <c r="B85" s="15">
        <v>4</v>
      </c>
      <c r="C85" s="13" t="s">
        <v>232</v>
      </c>
      <c r="D85" s="13" t="s">
        <v>206</v>
      </c>
      <c r="E85" s="13" t="s">
        <v>1099</v>
      </c>
      <c r="F85" s="9" t="s">
        <v>60</v>
      </c>
      <c r="G85" s="9" t="s">
        <v>207</v>
      </c>
      <c r="H85" s="29" t="str">
        <f t="shared" si="4"/>
        <v>23</v>
      </c>
    </row>
    <row r="86" spans="1:8" hidden="1" x14ac:dyDescent="0.35">
      <c r="A86" s="15">
        <f>A85+1</f>
        <v>402</v>
      </c>
      <c r="B86" s="15">
        <v>4</v>
      </c>
      <c r="C86" s="13" t="s">
        <v>232</v>
      </c>
      <c r="D86" s="13" t="s">
        <v>217</v>
      </c>
      <c r="E86" s="13" t="s">
        <v>1091</v>
      </c>
      <c r="F86" s="9" t="s">
        <v>1122</v>
      </c>
      <c r="G86" s="9" t="s">
        <v>218</v>
      </c>
      <c r="H86" s="29" t="str">
        <f t="shared" si="4"/>
        <v>20</v>
      </c>
    </row>
    <row r="87" spans="1:8" hidden="1" x14ac:dyDescent="0.35">
      <c r="A87" s="15">
        <f t="shared" ref="A87:A109" si="5">A86+1</f>
        <v>403</v>
      </c>
      <c r="B87" s="15">
        <v>4</v>
      </c>
      <c r="C87" s="13" t="s">
        <v>232</v>
      </c>
      <c r="D87" s="13" t="s">
        <v>223</v>
      </c>
      <c r="E87" s="13" t="s">
        <v>1068</v>
      </c>
      <c r="F87" s="9" t="s">
        <v>60</v>
      </c>
      <c r="G87" s="9" t="s">
        <v>224</v>
      </c>
      <c r="H87" s="29" t="str">
        <f t="shared" si="4"/>
        <v>19</v>
      </c>
    </row>
    <row r="88" spans="1:8" hidden="1" x14ac:dyDescent="0.35">
      <c r="A88" s="15">
        <f t="shared" si="5"/>
        <v>404</v>
      </c>
      <c r="B88" s="15">
        <v>4</v>
      </c>
      <c r="C88" s="13" t="s">
        <v>232</v>
      </c>
      <c r="D88" s="13" t="s">
        <v>188</v>
      </c>
      <c r="E88" s="13" t="s">
        <v>1079</v>
      </c>
      <c r="F88" s="9" t="s">
        <v>1117</v>
      </c>
      <c r="G88" s="9" t="s">
        <v>189</v>
      </c>
      <c r="H88" s="29" t="str">
        <f t="shared" si="4"/>
        <v>26</v>
      </c>
    </row>
    <row r="89" spans="1:8" hidden="1" x14ac:dyDescent="0.35">
      <c r="A89" s="15">
        <f t="shared" si="5"/>
        <v>405</v>
      </c>
      <c r="B89" s="15">
        <v>4</v>
      </c>
      <c r="C89" s="13" t="s">
        <v>232</v>
      </c>
      <c r="D89" s="13" t="s">
        <v>204</v>
      </c>
      <c r="E89" s="13" t="s">
        <v>1054</v>
      </c>
      <c r="F89" s="9" t="s">
        <v>1118</v>
      </c>
      <c r="G89" s="9" t="s">
        <v>205</v>
      </c>
      <c r="H89" s="29" t="str">
        <f t="shared" si="4"/>
        <v>23</v>
      </c>
    </row>
    <row r="90" spans="1:8" hidden="1" x14ac:dyDescent="0.35">
      <c r="A90" s="15">
        <f t="shared" si="5"/>
        <v>406</v>
      </c>
      <c r="B90" s="15">
        <v>4</v>
      </c>
      <c r="C90" s="13" t="s">
        <v>232</v>
      </c>
      <c r="D90" s="13" t="s">
        <v>210</v>
      </c>
      <c r="E90" s="13" t="s">
        <v>1083</v>
      </c>
      <c r="F90" s="9" t="s">
        <v>60</v>
      </c>
      <c r="G90" s="9" t="s">
        <v>211</v>
      </c>
      <c r="H90" s="29" t="str">
        <f t="shared" si="4"/>
        <v>32</v>
      </c>
    </row>
    <row r="91" spans="1:8" hidden="1" x14ac:dyDescent="0.35">
      <c r="A91" s="15">
        <f t="shared" si="5"/>
        <v>407</v>
      </c>
      <c r="B91" s="15">
        <v>4</v>
      </c>
      <c r="C91" s="13" t="s">
        <v>232</v>
      </c>
      <c r="D91" s="13" t="s">
        <v>215</v>
      </c>
      <c r="E91" s="13" t="s">
        <v>1096</v>
      </c>
      <c r="F91" s="9" t="s">
        <v>1124</v>
      </c>
      <c r="G91" s="9" t="s">
        <v>216</v>
      </c>
      <c r="H91" s="29" t="str">
        <f t="shared" si="4"/>
        <v>23</v>
      </c>
    </row>
    <row r="92" spans="1:8" hidden="1" x14ac:dyDescent="0.35">
      <c r="A92" s="15">
        <f t="shared" si="5"/>
        <v>408</v>
      </c>
      <c r="B92" s="15">
        <v>4</v>
      </c>
      <c r="C92" s="13" t="s">
        <v>232</v>
      </c>
      <c r="D92" s="13" t="s">
        <v>219</v>
      </c>
      <c r="E92" s="13" t="s">
        <v>1089</v>
      </c>
      <c r="F92" s="9" t="s">
        <v>1122</v>
      </c>
      <c r="G92" s="9" t="s">
        <v>220</v>
      </c>
      <c r="H92" s="29" t="str">
        <f t="shared" si="4"/>
        <v>27</v>
      </c>
    </row>
    <row r="93" spans="1:8" hidden="1" x14ac:dyDescent="0.35">
      <c r="A93" s="15">
        <f t="shared" si="5"/>
        <v>409</v>
      </c>
      <c r="B93" s="15">
        <v>4</v>
      </c>
      <c r="C93" s="13" t="s">
        <v>232</v>
      </c>
      <c r="D93" s="13" t="s">
        <v>231</v>
      </c>
      <c r="E93" s="13" t="s">
        <v>1081</v>
      </c>
      <c r="F93" s="9" t="s">
        <v>1117</v>
      </c>
      <c r="G93" s="11">
        <v>45739</v>
      </c>
      <c r="H93" s="29" t="str">
        <f t="shared" si="4"/>
        <v>45</v>
      </c>
    </row>
    <row r="94" spans="1:8" hidden="1" x14ac:dyDescent="0.35">
      <c r="A94" s="15">
        <f t="shared" si="5"/>
        <v>410</v>
      </c>
      <c r="B94" s="15">
        <v>4</v>
      </c>
      <c r="C94" s="13" t="s">
        <v>232</v>
      </c>
      <c r="D94" s="13" t="s">
        <v>198</v>
      </c>
      <c r="E94" s="13" t="s">
        <v>1068</v>
      </c>
      <c r="F94" s="9" t="s">
        <v>1122</v>
      </c>
      <c r="G94" s="9" t="s">
        <v>199</v>
      </c>
      <c r="H94" s="29" t="str">
        <f t="shared" si="4"/>
        <v>35</v>
      </c>
    </row>
    <row r="95" spans="1:8" hidden="1" x14ac:dyDescent="0.35">
      <c r="A95" s="15">
        <f t="shared" si="5"/>
        <v>411</v>
      </c>
      <c r="B95" s="15">
        <v>4</v>
      </c>
      <c r="C95" s="13" t="s">
        <v>232</v>
      </c>
      <c r="D95" s="13" t="s">
        <v>202</v>
      </c>
      <c r="E95" s="13" t="s">
        <v>1068</v>
      </c>
      <c r="F95" s="9" t="s">
        <v>1119</v>
      </c>
      <c r="G95" s="9" t="s">
        <v>203</v>
      </c>
      <c r="H95" s="29" t="str">
        <f t="shared" si="4"/>
        <v>24</v>
      </c>
    </row>
    <row r="96" spans="1:8" hidden="1" x14ac:dyDescent="0.35">
      <c r="A96" s="15">
        <f t="shared" si="5"/>
        <v>412</v>
      </c>
      <c r="B96" s="15">
        <v>4</v>
      </c>
      <c r="C96" s="13" t="s">
        <v>232</v>
      </c>
      <c r="D96" s="13" t="s">
        <v>196</v>
      </c>
      <c r="E96" s="13" t="s">
        <v>1063</v>
      </c>
      <c r="F96" s="9" t="s">
        <v>1118</v>
      </c>
      <c r="G96" s="9" t="s">
        <v>197</v>
      </c>
      <c r="H96" s="29" t="str">
        <f t="shared" si="4"/>
        <v>23</v>
      </c>
    </row>
    <row r="97" spans="1:8" hidden="1" x14ac:dyDescent="0.35">
      <c r="A97" s="15">
        <f t="shared" si="5"/>
        <v>413</v>
      </c>
      <c r="B97" s="15">
        <v>4</v>
      </c>
      <c r="C97" s="13" t="s">
        <v>232</v>
      </c>
      <c r="D97" s="13" t="s">
        <v>213</v>
      </c>
      <c r="E97" s="13" t="s">
        <v>1092</v>
      </c>
      <c r="F97" s="9" t="s">
        <v>60</v>
      </c>
      <c r="G97" s="9" t="s">
        <v>214</v>
      </c>
      <c r="H97" s="29" t="str">
        <f t="shared" si="4"/>
        <v>27</v>
      </c>
    </row>
    <row r="98" spans="1:8" hidden="1" x14ac:dyDescent="0.35">
      <c r="A98" s="15">
        <f t="shared" si="5"/>
        <v>414</v>
      </c>
      <c r="B98" s="15">
        <v>4</v>
      </c>
      <c r="C98" s="13" t="s">
        <v>232</v>
      </c>
      <c r="D98" s="13" t="s">
        <v>229</v>
      </c>
      <c r="E98" s="13" t="s">
        <v>1064</v>
      </c>
      <c r="F98" s="9" t="s">
        <v>1126</v>
      </c>
      <c r="G98" s="9" t="s">
        <v>230</v>
      </c>
      <c r="H98" s="29" t="str">
        <f t="shared" si="4"/>
        <v>26</v>
      </c>
    </row>
    <row r="99" spans="1:8" hidden="1" x14ac:dyDescent="0.35">
      <c r="A99" s="15">
        <f t="shared" si="5"/>
        <v>415</v>
      </c>
      <c r="B99" s="15">
        <v>4</v>
      </c>
      <c r="C99" s="13" t="s">
        <v>232</v>
      </c>
      <c r="D99" s="13" t="s">
        <v>208</v>
      </c>
      <c r="E99" s="13" t="s">
        <v>1064</v>
      </c>
      <c r="F99" s="9" t="s">
        <v>1122</v>
      </c>
      <c r="G99" s="9" t="s">
        <v>209</v>
      </c>
      <c r="H99" s="29" t="str">
        <f t="shared" si="4"/>
        <v>29</v>
      </c>
    </row>
    <row r="100" spans="1:8" hidden="1" x14ac:dyDescent="0.35">
      <c r="A100" s="15">
        <f t="shared" si="5"/>
        <v>416</v>
      </c>
      <c r="B100" s="15">
        <v>4</v>
      </c>
      <c r="C100" s="13" t="s">
        <v>232</v>
      </c>
      <c r="D100" s="13" t="s">
        <v>190</v>
      </c>
      <c r="E100" s="13" t="s">
        <v>1082</v>
      </c>
      <c r="F100" s="9" t="s">
        <v>60</v>
      </c>
      <c r="G100" s="9" t="s">
        <v>191</v>
      </c>
      <c r="H100" s="29" t="str">
        <f t="shared" si="4"/>
        <v>21</v>
      </c>
    </row>
    <row r="101" spans="1:8" hidden="1" x14ac:dyDescent="0.35">
      <c r="A101" s="15">
        <f t="shared" si="5"/>
        <v>417</v>
      </c>
      <c r="B101" s="15">
        <v>4</v>
      </c>
      <c r="C101" s="13" t="s">
        <v>232</v>
      </c>
      <c r="D101" s="13" t="s">
        <v>200</v>
      </c>
      <c r="E101" s="13" t="s">
        <v>1064</v>
      </c>
      <c r="F101" s="9" t="s">
        <v>1122</v>
      </c>
      <c r="G101" s="9" t="s">
        <v>201</v>
      </c>
      <c r="H101" s="29" t="str">
        <f t="shared" si="4"/>
        <v>25</v>
      </c>
    </row>
    <row r="102" spans="1:8" hidden="1" x14ac:dyDescent="0.35">
      <c r="A102" s="15">
        <f t="shared" si="5"/>
        <v>418</v>
      </c>
      <c r="B102" s="15">
        <v>4</v>
      </c>
      <c r="C102" s="13" t="s">
        <v>232</v>
      </c>
      <c r="D102" s="13" t="s">
        <v>227</v>
      </c>
      <c r="E102" s="13" t="s">
        <v>1068</v>
      </c>
      <c r="F102" s="9" t="s">
        <v>1122</v>
      </c>
      <c r="G102" s="9" t="s">
        <v>228</v>
      </c>
      <c r="H102" s="29" t="str">
        <f t="shared" si="4"/>
        <v>23</v>
      </c>
    </row>
    <row r="103" spans="1:8" hidden="1" x14ac:dyDescent="0.35">
      <c r="A103" s="15">
        <f t="shared" si="5"/>
        <v>419</v>
      </c>
      <c r="B103" s="15">
        <v>4</v>
      </c>
      <c r="C103" s="13" t="s">
        <v>232</v>
      </c>
      <c r="D103" s="13" t="s">
        <v>184</v>
      </c>
      <c r="E103" s="13" t="s">
        <v>1079</v>
      </c>
      <c r="F103" s="9" t="s">
        <v>60</v>
      </c>
      <c r="G103" s="9" t="s">
        <v>185</v>
      </c>
      <c r="H103" s="29" t="str">
        <f t="shared" si="4"/>
        <v>24</v>
      </c>
    </row>
    <row r="104" spans="1:8" hidden="1" x14ac:dyDescent="0.35">
      <c r="A104" s="15">
        <f t="shared" si="5"/>
        <v>420</v>
      </c>
      <c r="B104" s="15">
        <v>4</v>
      </c>
      <c r="C104" s="13" t="s">
        <v>232</v>
      </c>
      <c r="D104" s="13" t="s">
        <v>225</v>
      </c>
      <c r="E104" s="13" t="s">
        <v>1068</v>
      </c>
      <c r="F104" s="9" t="s">
        <v>1124</v>
      </c>
      <c r="G104" s="9" t="s">
        <v>226</v>
      </c>
      <c r="H104" s="29" t="str">
        <f t="shared" si="4"/>
        <v>25</v>
      </c>
    </row>
    <row r="105" spans="1:8" hidden="1" x14ac:dyDescent="0.35">
      <c r="A105" s="15">
        <f t="shared" si="5"/>
        <v>421</v>
      </c>
      <c r="B105" s="15">
        <v>4</v>
      </c>
      <c r="C105" s="13" t="s">
        <v>232</v>
      </c>
      <c r="D105" s="13" t="s">
        <v>212</v>
      </c>
      <c r="E105" s="13" t="s">
        <v>1068</v>
      </c>
      <c r="F105" s="9" t="s">
        <v>60</v>
      </c>
      <c r="G105" s="9" t="s">
        <v>144</v>
      </c>
      <c r="H105" s="29" t="str">
        <f t="shared" si="4"/>
        <v>28</v>
      </c>
    </row>
    <row r="106" spans="1:8" hidden="1" x14ac:dyDescent="0.35">
      <c r="A106" s="15">
        <f t="shared" si="5"/>
        <v>422</v>
      </c>
      <c r="B106" s="15">
        <v>4</v>
      </c>
      <c r="C106" s="13" t="s">
        <v>232</v>
      </c>
      <c r="D106" s="13" t="s">
        <v>186</v>
      </c>
      <c r="E106" s="13" t="s">
        <v>1091</v>
      </c>
      <c r="F106" s="9" t="s">
        <v>60</v>
      </c>
      <c r="G106" s="9" t="s">
        <v>187</v>
      </c>
      <c r="H106" s="29" t="str">
        <f t="shared" si="4"/>
        <v>23</v>
      </c>
    </row>
    <row r="107" spans="1:8" hidden="1" x14ac:dyDescent="0.35">
      <c r="A107" s="15">
        <f t="shared" si="5"/>
        <v>423</v>
      </c>
      <c r="B107" s="15">
        <v>4</v>
      </c>
      <c r="C107" s="13" t="s">
        <v>232</v>
      </c>
      <c r="D107" s="13" t="s">
        <v>194</v>
      </c>
      <c r="E107" s="13" t="s">
        <v>1056</v>
      </c>
      <c r="F107" s="9" t="s">
        <v>1118</v>
      </c>
      <c r="G107" s="9" t="s">
        <v>195</v>
      </c>
      <c r="H107" s="29" t="str">
        <f t="shared" si="4"/>
        <v>24</v>
      </c>
    </row>
    <row r="108" spans="1:8" hidden="1" x14ac:dyDescent="0.35">
      <c r="A108" s="15">
        <f t="shared" si="5"/>
        <v>424</v>
      </c>
      <c r="B108" s="15">
        <v>4</v>
      </c>
      <c r="C108" s="13" t="s">
        <v>232</v>
      </c>
      <c r="D108" s="13" t="s">
        <v>221</v>
      </c>
      <c r="E108" s="13" t="s">
        <v>1063</v>
      </c>
      <c r="F108" s="9" t="s">
        <v>1122</v>
      </c>
      <c r="G108" s="9" t="s">
        <v>222</v>
      </c>
      <c r="H108" s="29" t="str">
        <f t="shared" si="4"/>
        <v>27</v>
      </c>
    </row>
    <row r="109" spans="1:8" hidden="1" x14ac:dyDescent="0.35">
      <c r="A109" s="15">
        <f t="shared" si="5"/>
        <v>425</v>
      </c>
      <c r="B109" s="15">
        <v>4</v>
      </c>
      <c r="C109" s="13" t="s">
        <v>232</v>
      </c>
      <c r="D109" s="13" t="s">
        <v>192</v>
      </c>
      <c r="E109" s="13" t="s">
        <v>1107</v>
      </c>
      <c r="F109" s="9" t="s">
        <v>1122</v>
      </c>
      <c r="G109" s="9" t="s">
        <v>193</v>
      </c>
      <c r="H109" s="29" t="str">
        <f t="shared" si="4"/>
        <v>21</v>
      </c>
    </row>
    <row r="110" spans="1:8" hidden="1" x14ac:dyDescent="0.35">
      <c r="A110" s="15">
        <v>501</v>
      </c>
      <c r="B110" s="15">
        <v>5</v>
      </c>
      <c r="C110" s="13" t="s">
        <v>280</v>
      </c>
      <c r="D110" s="13" t="s">
        <v>237</v>
      </c>
      <c r="E110" s="13" t="s">
        <v>1091</v>
      </c>
      <c r="F110" s="9" t="s">
        <v>1117</v>
      </c>
      <c r="G110" s="9" t="s">
        <v>238</v>
      </c>
      <c r="H110" s="29" t="str">
        <f t="shared" si="4"/>
        <v>23</v>
      </c>
    </row>
    <row r="111" spans="1:8" hidden="1" x14ac:dyDescent="0.35">
      <c r="A111" s="15">
        <f>A110+1</f>
        <v>502</v>
      </c>
      <c r="B111" s="15">
        <v>5</v>
      </c>
      <c r="C111" s="13" t="s">
        <v>280</v>
      </c>
      <c r="D111" s="13" t="s">
        <v>260</v>
      </c>
      <c r="E111" s="13" t="s">
        <v>1063</v>
      </c>
      <c r="F111" s="9" t="s">
        <v>1123</v>
      </c>
      <c r="G111" s="9" t="s">
        <v>261</v>
      </c>
      <c r="H111" s="29" t="str">
        <f t="shared" si="4"/>
        <v>21</v>
      </c>
    </row>
    <row r="112" spans="1:8" hidden="1" x14ac:dyDescent="0.35">
      <c r="A112" s="15">
        <f t="shared" ref="A112:A133" si="6">A111+1</f>
        <v>503</v>
      </c>
      <c r="B112" s="15">
        <v>5</v>
      </c>
      <c r="C112" s="13" t="s">
        <v>280</v>
      </c>
      <c r="D112" s="13" t="s">
        <v>243</v>
      </c>
      <c r="E112" s="13" t="s">
        <v>1060</v>
      </c>
      <c r="F112" s="9" t="s">
        <v>1122</v>
      </c>
      <c r="G112" s="9" t="s">
        <v>244</v>
      </c>
      <c r="H112" s="29" t="str">
        <f t="shared" si="4"/>
        <v>21</v>
      </c>
    </row>
    <row r="113" spans="1:8" hidden="1" x14ac:dyDescent="0.35">
      <c r="A113" s="15">
        <f t="shared" si="6"/>
        <v>504</v>
      </c>
      <c r="B113" s="15">
        <v>5</v>
      </c>
      <c r="C113" s="13" t="s">
        <v>280</v>
      </c>
      <c r="D113" s="13" t="s">
        <v>274</v>
      </c>
      <c r="E113" s="13" t="s">
        <v>1074</v>
      </c>
      <c r="F113" s="9" t="s">
        <v>1118</v>
      </c>
      <c r="G113" s="9" t="s">
        <v>275</v>
      </c>
      <c r="H113" s="29" t="str">
        <f t="shared" si="4"/>
        <v>18</v>
      </c>
    </row>
    <row r="114" spans="1:8" hidden="1" x14ac:dyDescent="0.35">
      <c r="A114" s="15">
        <f t="shared" si="6"/>
        <v>505</v>
      </c>
      <c r="B114" s="15">
        <v>5</v>
      </c>
      <c r="C114" s="13" t="s">
        <v>280</v>
      </c>
      <c r="D114" s="13" t="s">
        <v>246</v>
      </c>
      <c r="E114" s="13" t="s">
        <v>1068</v>
      </c>
      <c r="F114" s="9" t="s">
        <v>1118</v>
      </c>
      <c r="G114" s="9" t="s">
        <v>247</v>
      </c>
      <c r="H114" s="29" t="str">
        <f t="shared" si="4"/>
        <v>34</v>
      </c>
    </row>
    <row r="115" spans="1:8" hidden="1" x14ac:dyDescent="0.35">
      <c r="A115" s="15">
        <f t="shared" si="6"/>
        <v>506</v>
      </c>
      <c r="B115" s="15">
        <v>5</v>
      </c>
      <c r="C115" s="13" t="s">
        <v>280</v>
      </c>
      <c r="D115" s="13" t="s">
        <v>270</v>
      </c>
      <c r="E115" s="13" t="s">
        <v>1082</v>
      </c>
      <c r="F115" s="9" t="s">
        <v>60</v>
      </c>
      <c r="G115" s="9" t="s">
        <v>271</v>
      </c>
      <c r="H115" s="29" t="str">
        <f t="shared" si="4"/>
        <v>21</v>
      </c>
    </row>
    <row r="116" spans="1:8" hidden="1" x14ac:dyDescent="0.35">
      <c r="A116" s="15">
        <f t="shared" si="6"/>
        <v>507</v>
      </c>
      <c r="B116" s="15">
        <v>5</v>
      </c>
      <c r="C116" s="13" t="s">
        <v>280</v>
      </c>
      <c r="D116" s="13" t="s">
        <v>256</v>
      </c>
      <c r="E116" s="13" t="s">
        <v>1097</v>
      </c>
      <c r="F116" s="9" t="s">
        <v>1122</v>
      </c>
      <c r="G116" s="9" t="s">
        <v>257</v>
      </c>
      <c r="H116" s="29" t="str">
        <f t="shared" si="4"/>
        <v>22</v>
      </c>
    </row>
    <row r="117" spans="1:8" hidden="1" x14ac:dyDescent="0.35">
      <c r="A117" s="15">
        <f t="shared" si="6"/>
        <v>508</v>
      </c>
      <c r="B117" s="15">
        <v>5</v>
      </c>
      <c r="C117" s="13" t="s">
        <v>280</v>
      </c>
      <c r="D117" s="13" t="s">
        <v>254</v>
      </c>
      <c r="E117" s="13" t="s">
        <v>1105</v>
      </c>
      <c r="F117" s="9" t="s">
        <v>1119</v>
      </c>
      <c r="G117" s="9" t="s">
        <v>255</v>
      </c>
      <c r="H117" s="29" t="str">
        <f t="shared" si="4"/>
        <v>26</v>
      </c>
    </row>
    <row r="118" spans="1:8" hidden="1" x14ac:dyDescent="0.35">
      <c r="A118" s="15">
        <f t="shared" si="6"/>
        <v>509</v>
      </c>
      <c r="B118" s="15">
        <v>5</v>
      </c>
      <c r="C118" s="13" t="s">
        <v>280</v>
      </c>
      <c r="D118" s="13" t="s">
        <v>248</v>
      </c>
      <c r="E118" s="13" t="s">
        <v>1070</v>
      </c>
      <c r="F118" s="9" t="s">
        <v>1124</v>
      </c>
      <c r="G118" s="9" t="s">
        <v>249</v>
      </c>
      <c r="H118" s="29" t="str">
        <f t="shared" si="4"/>
        <v>23</v>
      </c>
    </row>
    <row r="119" spans="1:8" hidden="1" x14ac:dyDescent="0.35">
      <c r="A119" s="15">
        <f t="shared" si="6"/>
        <v>510</v>
      </c>
      <c r="B119" s="15">
        <v>5</v>
      </c>
      <c r="C119" s="13" t="s">
        <v>280</v>
      </c>
      <c r="D119" s="13" t="s">
        <v>264</v>
      </c>
      <c r="E119" s="13" t="s">
        <v>1068</v>
      </c>
      <c r="F119" s="9" t="s">
        <v>1122</v>
      </c>
      <c r="G119" s="9" t="s">
        <v>265</v>
      </c>
      <c r="H119" s="29" t="str">
        <f t="shared" si="4"/>
        <v>20</v>
      </c>
    </row>
    <row r="120" spans="1:8" hidden="1" x14ac:dyDescent="0.35">
      <c r="A120" s="15">
        <f t="shared" si="6"/>
        <v>511</v>
      </c>
      <c r="B120" s="15">
        <v>5</v>
      </c>
      <c r="C120" s="13" t="s">
        <v>280</v>
      </c>
      <c r="D120" s="13" t="s">
        <v>266</v>
      </c>
      <c r="E120" s="13" t="s">
        <v>1068</v>
      </c>
      <c r="F120" s="9" t="s">
        <v>1122</v>
      </c>
      <c r="G120" s="9" t="s">
        <v>267</v>
      </c>
      <c r="H120" s="29" t="str">
        <f t="shared" si="4"/>
        <v>39</v>
      </c>
    </row>
    <row r="121" spans="1:8" hidden="1" x14ac:dyDescent="0.35">
      <c r="A121" s="15">
        <f t="shared" si="6"/>
        <v>512</v>
      </c>
      <c r="B121" s="15">
        <v>5</v>
      </c>
      <c r="C121" s="13" t="s">
        <v>280</v>
      </c>
      <c r="D121" s="13" t="s">
        <v>235</v>
      </c>
      <c r="E121" s="13" t="s">
        <v>1091</v>
      </c>
      <c r="F121" s="9" t="s">
        <v>60</v>
      </c>
      <c r="G121" s="9" t="s">
        <v>236</v>
      </c>
      <c r="H121" s="29" t="str">
        <f t="shared" si="4"/>
        <v>25</v>
      </c>
    </row>
    <row r="122" spans="1:8" hidden="1" x14ac:dyDescent="0.35">
      <c r="A122" s="15">
        <f t="shared" si="6"/>
        <v>513</v>
      </c>
      <c r="B122" s="15">
        <v>5</v>
      </c>
      <c r="C122" s="13" t="s">
        <v>280</v>
      </c>
      <c r="D122" s="13" t="s">
        <v>276</v>
      </c>
      <c r="E122" s="13" t="s">
        <v>1068</v>
      </c>
      <c r="F122" s="9" t="s">
        <v>1117</v>
      </c>
      <c r="G122" s="9" t="s">
        <v>277</v>
      </c>
      <c r="H122" s="29" t="str">
        <f t="shared" si="4"/>
        <v>35</v>
      </c>
    </row>
    <row r="123" spans="1:8" hidden="1" x14ac:dyDescent="0.35">
      <c r="A123" s="15">
        <f t="shared" si="6"/>
        <v>514</v>
      </c>
      <c r="B123" s="15">
        <v>5</v>
      </c>
      <c r="C123" s="13" t="s">
        <v>280</v>
      </c>
      <c r="D123" s="13" t="s">
        <v>250</v>
      </c>
      <c r="E123" s="13" t="s">
        <v>1091</v>
      </c>
      <c r="F123" s="9" t="s">
        <v>60</v>
      </c>
      <c r="G123" s="9" t="s">
        <v>251</v>
      </c>
      <c r="H123" s="29" t="str">
        <f t="shared" si="4"/>
        <v>33</v>
      </c>
    </row>
    <row r="124" spans="1:8" hidden="1" x14ac:dyDescent="0.35">
      <c r="A124" s="15">
        <f t="shared" si="6"/>
        <v>515</v>
      </c>
      <c r="B124" s="15">
        <v>5</v>
      </c>
      <c r="C124" s="13" t="s">
        <v>280</v>
      </c>
      <c r="D124" s="13" t="s">
        <v>241</v>
      </c>
      <c r="E124" s="13" t="s">
        <v>1084</v>
      </c>
      <c r="F124" s="9" t="s">
        <v>1118</v>
      </c>
      <c r="G124" s="9" t="s">
        <v>242</v>
      </c>
      <c r="H124" s="29" t="str">
        <f t="shared" si="4"/>
        <v>28</v>
      </c>
    </row>
    <row r="125" spans="1:8" hidden="1" x14ac:dyDescent="0.35">
      <c r="A125" s="15">
        <f t="shared" si="6"/>
        <v>516</v>
      </c>
      <c r="B125" s="15">
        <v>5</v>
      </c>
      <c r="C125" s="13" t="s">
        <v>280</v>
      </c>
      <c r="D125" s="13" t="s">
        <v>233</v>
      </c>
      <c r="E125" s="13" t="s">
        <v>1068</v>
      </c>
      <c r="F125" s="9" t="s">
        <v>60</v>
      </c>
      <c r="G125" s="9" t="s">
        <v>234</v>
      </c>
      <c r="H125" s="29" t="str">
        <f t="shared" si="4"/>
        <v>33</v>
      </c>
    </row>
    <row r="126" spans="1:8" hidden="1" x14ac:dyDescent="0.35">
      <c r="A126" s="15">
        <f t="shared" si="6"/>
        <v>517</v>
      </c>
      <c r="B126" s="15">
        <v>5</v>
      </c>
      <c r="C126" s="13" t="s">
        <v>280</v>
      </c>
      <c r="D126" s="13" t="s">
        <v>258</v>
      </c>
      <c r="E126" s="13" t="s">
        <v>1091</v>
      </c>
      <c r="F126" s="9" t="s">
        <v>60</v>
      </c>
      <c r="G126" s="9" t="s">
        <v>259</v>
      </c>
      <c r="H126" s="29" t="str">
        <f t="shared" si="4"/>
        <v>25</v>
      </c>
    </row>
    <row r="127" spans="1:8" hidden="1" x14ac:dyDescent="0.35">
      <c r="A127" s="15">
        <f t="shared" si="6"/>
        <v>518</v>
      </c>
      <c r="B127" s="15">
        <v>5</v>
      </c>
      <c r="C127" s="13" t="s">
        <v>280</v>
      </c>
      <c r="D127" s="13" t="s">
        <v>262</v>
      </c>
      <c r="E127" s="13" t="s">
        <v>1064</v>
      </c>
      <c r="F127" s="9" t="s">
        <v>1122</v>
      </c>
      <c r="G127" s="9" t="s">
        <v>263</v>
      </c>
      <c r="H127" s="29" t="str">
        <f t="shared" si="4"/>
        <v>24</v>
      </c>
    </row>
    <row r="128" spans="1:8" hidden="1" x14ac:dyDescent="0.35">
      <c r="A128" s="15">
        <f t="shared" si="6"/>
        <v>519</v>
      </c>
      <c r="B128" s="15">
        <v>5</v>
      </c>
      <c r="C128" s="13" t="s">
        <v>280</v>
      </c>
      <c r="D128" s="13" t="s">
        <v>252</v>
      </c>
      <c r="E128" s="13" t="s">
        <v>1053</v>
      </c>
      <c r="F128" s="9" t="s">
        <v>60</v>
      </c>
      <c r="G128" s="9" t="s">
        <v>253</v>
      </c>
      <c r="H128" s="29" t="str">
        <f t="shared" si="4"/>
        <v>24</v>
      </c>
    </row>
    <row r="129" spans="1:8" hidden="1" x14ac:dyDescent="0.35">
      <c r="A129" s="15">
        <f t="shared" si="6"/>
        <v>520</v>
      </c>
      <c r="B129" s="15">
        <v>5</v>
      </c>
      <c r="C129" s="13" t="s">
        <v>280</v>
      </c>
      <c r="D129" s="13" t="s">
        <v>272</v>
      </c>
      <c r="E129" s="13" t="s">
        <v>1070</v>
      </c>
      <c r="F129" s="9" t="s">
        <v>60</v>
      </c>
      <c r="G129" s="9" t="s">
        <v>273</v>
      </c>
      <c r="H129" s="29" t="str">
        <f t="shared" si="4"/>
        <v>27</v>
      </c>
    </row>
    <row r="130" spans="1:8" hidden="1" x14ac:dyDescent="0.35">
      <c r="A130" s="15">
        <f t="shared" si="6"/>
        <v>521</v>
      </c>
      <c r="B130" s="15">
        <v>5</v>
      </c>
      <c r="C130" s="13" t="s">
        <v>280</v>
      </c>
      <c r="D130" s="13" t="s">
        <v>268</v>
      </c>
      <c r="E130" s="13" t="s">
        <v>1074</v>
      </c>
      <c r="F130" s="9" t="s">
        <v>1123</v>
      </c>
      <c r="G130" s="9" t="s">
        <v>269</v>
      </c>
      <c r="H130" s="29" t="str">
        <f t="shared" ref="H130:H193" si="7">LEFT(G130,2)</f>
        <v>19</v>
      </c>
    </row>
    <row r="131" spans="1:8" hidden="1" x14ac:dyDescent="0.35">
      <c r="A131" s="15">
        <f t="shared" si="6"/>
        <v>522</v>
      </c>
      <c r="B131" s="15">
        <v>5</v>
      </c>
      <c r="C131" s="13" t="s">
        <v>280</v>
      </c>
      <c r="D131" s="13" t="s">
        <v>278</v>
      </c>
      <c r="E131" s="13" t="s">
        <v>1068</v>
      </c>
      <c r="F131" s="9" t="s">
        <v>1122</v>
      </c>
      <c r="G131" s="9" t="s">
        <v>279</v>
      </c>
      <c r="H131" s="29" t="str">
        <f t="shared" si="7"/>
        <v>19</v>
      </c>
    </row>
    <row r="132" spans="1:8" hidden="1" x14ac:dyDescent="0.35">
      <c r="A132" s="15">
        <f t="shared" si="6"/>
        <v>523</v>
      </c>
      <c r="B132" s="15">
        <v>5</v>
      </c>
      <c r="C132" s="13" t="s">
        <v>280</v>
      </c>
      <c r="D132" s="13" t="s">
        <v>239</v>
      </c>
      <c r="E132" s="13" t="s">
        <v>1073</v>
      </c>
      <c r="F132" s="9" t="s">
        <v>1118</v>
      </c>
      <c r="G132" s="9" t="s">
        <v>240</v>
      </c>
      <c r="H132" s="29" t="str">
        <f t="shared" si="7"/>
        <v>21</v>
      </c>
    </row>
    <row r="133" spans="1:8" hidden="1" x14ac:dyDescent="0.35">
      <c r="A133" s="15">
        <f t="shared" si="6"/>
        <v>524</v>
      </c>
      <c r="B133" s="15">
        <v>5</v>
      </c>
      <c r="C133" s="13" t="s">
        <v>280</v>
      </c>
      <c r="D133" s="13" t="s">
        <v>245</v>
      </c>
      <c r="E133" s="13" t="s">
        <v>1100</v>
      </c>
      <c r="F133" s="9" t="s">
        <v>1122</v>
      </c>
      <c r="G133" s="9" t="s">
        <v>116</v>
      </c>
      <c r="H133" s="29" t="str">
        <f t="shared" si="7"/>
        <v>22</v>
      </c>
    </row>
    <row r="134" spans="1:8" hidden="1" x14ac:dyDescent="0.35">
      <c r="A134" s="15">
        <v>601</v>
      </c>
      <c r="B134" s="15">
        <v>6</v>
      </c>
      <c r="C134" s="13" t="s">
        <v>330</v>
      </c>
      <c r="D134" s="13" t="s">
        <v>327</v>
      </c>
      <c r="E134" s="13" t="s">
        <v>1068</v>
      </c>
      <c r="F134" s="9" t="s">
        <v>1122</v>
      </c>
      <c r="G134" s="9" t="s">
        <v>306</v>
      </c>
      <c r="H134" s="29" t="str">
        <f t="shared" si="7"/>
        <v>22</v>
      </c>
    </row>
    <row r="135" spans="1:8" hidden="1" x14ac:dyDescent="0.35">
      <c r="A135" s="15">
        <f>A134+1</f>
        <v>602</v>
      </c>
      <c r="B135" s="15">
        <v>6</v>
      </c>
      <c r="C135" s="13" t="s">
        <v>330</v>
      </c>
      <c r="D135" s="13" t="s">
        <v>313</v>
      </c>
      <c r="E135" s="13" t="s">
        <v>1050</v>
      </c>
      <c r="F135" s="9" t="s">
        <v>1118</v>
      </c>
      <c r="G135" s="9" t="s">
        <v>314</v>
      </c>
      <c r="H135" s="29" t="str">
        <f t="shared" si="7"/>
        <v>24</v>
      </c>
    </row>
    <row r="136" spans="1:8" hidden="1" x14ac:dyDescent="0.35">
      <c r="A136" s="15">
        <f t="shared" ref="A136:A158" si="8">A135+1</f>
        <v>603</v>
      </c>
      <c r="B136" s="15">
        <v>6</v>
      </c>
      <c r="C136" s="13" t="s">
        <v>330</v>
      </c>
      <c r="D136" s="13" t="s">
        <v>323</v>
      </c>
      <c r="E136" s="13" t="s">
        <v>1068</v>
      </c>
      <c r="F136" s="9" t="s">
        <v>1124</v>
      </c>
      <c r="G136" s="9" t="s">
        <v>324</v>
      </c>
      <c r="H136" s="29" t="str">
        <f t="shared" si="7"/>
        <v>35</v>
      </c>
    </row>
    <row r="137" spans="1:8" hidden="1" x14ac:dyDescent="0.35">
      <c r="A137" s="15">
        <f t="shared" si="8"/>
        <v>604</v>
      </c>
      <c r="B137" s="15">
        <v>6</v>
      </c>
      <c r="C137" s="13" t="s">
        <v>330</v>
      </c>
      <c r="D137" s="13" t="s">
        <v>311</v>
      </c>
      <c r="E137" s="13" t="s">
        <v>1057</v>
      </c>
      <c r="F137" s="9" t="s">
        <v>60</v>
      </c>
      <c r="G137" s="9" t="s">
        <v>312</v>
      </c>
      <c r="H137" s="29" t="str">
        <f t="shared" si="7"/>
        <v>27</v>
      </c>
    </row>
    <row r="138" spans="1:8" hidden="1" x14ac:dyDescent="0.35">
      <c r="A138" s="15">
        <f t="shared" si="8"/>
        <v>605</v>
      </c>
      <c r="B138" s="15">
        <v>6</v>
      </c>
      <c r="C138" s="13" t="s">
        <v>330</v>
      </c>
      <c r="D138" s="13" t="s">
        <v>321</v>
      </c>
      <c r="E138" s="13" t="s">
        <v>1068</v>
      </c>
      <c r="F138" s="9" t="s">
        <v>60</v>
      </c>
      <c r="G138" s="9" t="s">
        <v>322</v>
      </c>
      <c r="H138" s="29" t="str">
        <f t="shared" si="7"/>
        <v>22</v>
      </c>
    </row>
    <row r="139" spans="1:8" hidden="1" x14ac:dyDescent="0.35">
      <c r="A139" s="15">
        <f t="shared" si="8"/>
        <v>606</v>
      </c>
      <c r="B139" s="15">
        <v>6</v>
      </c>
      <c r="C139" s="13" t="s">
        <v>330</v>
      </c>
      <c r="D139" s="13" t="s">
        <v>301</v>
      </c>
      <c r="E139" s="13" t="s">
        <v>1096</v>
      </c>
      <c r="F139" s="9" t="s">
        <v>1122</v>
      </c>
      <c r="G139" s="9" t="s">
        <v>302</v>
      </c>
      <c r="H139" s="29" t="str">
        <f t="shared" si="7"/>
        <v>26</v>
      </c>
    </row>
    <row r="140" spans="1:8" hidden="1" x14ac:dyDescent="0.35">
      <c r="A140" s="15">
        <f t="shared" si="8"/>
        <v>607</v>
      </c>
      <c r="B140" s="15">
        <v>6</v>
      </c>
      <c r="C140" s="13" t="s">
        <v>330</v>
      </c>
      <c r="D140" s="13" t="s">
        <v>305</v>
      </c>
      <c r="E140" s="13" t="s">
        <v>1104</v>
      </c>
      <c r="F140" s="9" t="s">
        <v>1122</v>
      </c>
      <c r="G140" s="9" t="s">
        <v>306</v>
      </c>
      <c r="H140" s="29" t="str">
        <f t="shared" si="7"/>
        <v>22</v>
      </c>
    </row>
    <row r="141" spans="1:8" hidden="1" x14ac:dyDescent="0.35">
      <c r="A141" s="15">
        <f t="shared" si="8"/>
        <v>608</v>
      </c>
      <c r="B141" s="15">
        <v>6</v>
      </c>
      <c r="C141" s="13" t="s">
        <v>330</v>
      </c>
      <c r="D141" s="13" t="s">
        <v>295</v>
      </c>
      <c r="E141" s="13" t="s">
        <v>1100</v>
      </c>
      <c r="F141" s="9" t="s">
        <v>60</v>
      </c>
      <c r="G141" s="9" t="s">
        <v>296</v>
      </c>
      <c r="H141" s="29" t="str">
        <f t="shared" si="7"/>
        <v>26</v>
      </c>
    </row>
    <row r="142" spans="1:8" hidden="1" x14ac:dyDescent="0.35">
      <c r="A142" s="15">
        <f t="shared" si="8"/>
        <v>609</v>
      </c>
      <c r="B142" s="15">
        <v>6</v>
      </c>
      <c r="C142" s="13" t="s">
        <v>330</v>
      </c>
      <c r="D142" s="13" t="s">
        <v>307</v>
      </c>
      <c r="E142" s="13" t="s">
        <v>1064</v>
      </c>
      <c r="F142" s="9" t="s">
        <v>1124</v>
      </c>
      <c r="G142" s="9" t="s">
        <v>308</v>
      </c>
      <c r="H142" s="29" t="str">
        <f t="shared" si="7"/>
        <v>27</v>
      </c>
    </row>
    <row r="143" spans="1:8" hidden="1" x14ac:dyDescent="0.35">
      <c r="A143" s="15">
        <f t="shared" si="8"/>
        <v>610</v>
      </c>
      <c r="B143" s="15">
        <v>6</v>
      </c>
      <c r="C143" s="13" t="s">
        <v>330</v>
      </c>
      <c r="D143" s="13" t="s">
        <v>291</v>
      </c>
      <c r="E143" s="13" t="s">
        <v>1068</v>
      </c>
      <c r="F143" s="9" t="s">
        <v>1123</v>
      </c>
      <c r="G143" s="9" t="s">
        <v>292</v>
      </c>
      <c r="H143" s="29" t="str">
        <f t="shared" si="7"/>
        <v>25</v>
      </c>
    </row>
    <row r="144" spans="1:8" hidden="1" x14ac:dyDescent="0.35">
      <c r="A144" s="15">
        <f t="shared" si="8"/>
        <v>611</v>
      </c>
      <c r="B144" s="15">
        <v>6</v>
      </c>
      <c r="C144" s="13" t="s">
        <v>330</v>
      </c>
      <c r="D144" s="13" t="s">
        <v>317</v>
      </c>
      <c r="E144" s="13" t="s">
        <v>1068</v>
      </c>
      <c r="F144" s="9" t="s">
        <v>60</v>
      </c>
      <c r="G144" s="9" t="s">
        <v>318</v>
      </c>
      <c r="H144" s="29" t="str">
        <f t="shared" si="7"/>
        <v>28</v>
      </c>
    </row>
    <row r="145" spans="1:8" hidden="1" x14ac:dyDescent="0.35">
      <c r="A145" s="15">
        <f t="shared" si="8"/>
        <v>612</v>
      </c>
      <c r="B145" s="15">
        <v>6</v>
      </c>
      <c r="C145" s="13" t="s">
        <v>330</v>
      </c>
      <c r="D145" s="13" t="s">
        <v>289</v>
      </c>
      <c r="E145" s="13" t="s">
        <v>1079</v>
      </c>
      <c r="F145" s="9" t="s">
        <v>1122</v>
      </c>
      <c r="G145" s="9" t="s">
        <v>290</v>
      </c>
      <c r="H145" s="29" t="str">
        <f t="shared" si="7"/>
        <v>29</v>
      </c>
    </row>
    <row r="146" spans="1:8" hidden="1" x14ac:dyDescent="0.35">
      <c r="A146" s="15">
        <f t="shared" si="8"/>
        <v>613</v>
      </c>
      <c r="B146" s="15">
        <v>6</v>
      </c>
      <c r="C146" s="13" t="s">
        <v>330</v>
      </c>
      <c r="D146" s="13" t="s">
        <v>297</v>
      </c>
      <c r="E146" s="13" t="s">
        <v>1068</v>
      </c>
      <c r="F146" s="9" t="s">
        <v>1126</v>
      </c>
      <c r="G146" s="9" t="s">
        <v>298</v>
      </c>
      <c r="H146" s="29" t="str">
        <f t="shared" si="7"/>
        <v>30</v>
      </c>
    </row>
    <row r="147" spans="1:8" hidden="1" x14ac:dyDescent="0.35">
      <c r="A147" s="15">
        <f t="shared" si="8"/>
        <v>614</v>
      </c>
      <c r="B147" s="15">
        <v>6</v>
      </c>
      <c r="C147" s="13" t="s">
        <v>330</v>
      </c>
      <c r="D147" s="13" t="s">
        <v>283</v>
      </c>
      <c r="E147" s="13" t="s">
        <v>1068</v>
      </c>
      <c r="F147" s="9" t="s">
        <v>60</v>
      </c>
      <c r="G147" s="9" t="s">
        <v>284</v>
      </c>
      <c r="H147" s="29" t="str">
        <f t="shared" si="7"/>
        <v>35</v>
      </c>
    </row>
    <row r="148" spans="1:8" hidden="1" x14ac:dyDescent="0.35">
      <c r="A148" s="15">
        <f t="shared" si="8"/>
        <v>615</v>
      </c>
      <c r="B148" s="15">
        <v>6</v>
      </c>
      <c r="C148" s="13" t="s">
        <v>330</v>
      </c>
      <c r="D148" s="13" t="s">
        <v>303</v>
      </c>
      <c r="E148" s="13" t="s">
        <v>1070</v>
      </c>
      <c r="F148" s="9" t="s">
        <v>1122</v>
      </c>
      <c r="G148" s="9" t="s">
        <v>304</v>
      </c>
      <c r="H148" s="29" t="str">
        <f t="shared" si="7"/>
        <v>21</v>
      </c>
    </row>
    <row r="149" spans="1:8" hidden="1" x14ac:dyDescent="0.35">
      <c r="A149" s="15">
        <f t="shared" si="8"/>
        <v>616</v>
      </c>
      <c r="B149" s="15">
        <v>6</v>
      </c>
      <c r="C149" s="13" t="s">
        <v>330</v>
      </c>
      <c r="D149" s="13" t="s">
        <v>299</v>
      </c>
      <c r="E149" s="13" t="s">
        <v>1070</v>
      </c>
      <c r="F149" s="9" t="s">
        <v>1122</v>
      </c>
      <c r="G149" s="9" t="s">
        <v>300</v>
      </c>
      <c r="H149" s="29" t="str">
        <f t="shared" si="7"/>
        <v>22</v>
      </c>
    </row>
    <row r="150" spans="1:8" hidden="1" x14ac:dyDescent="0.35">
      <c r="A150" s="15">
        <f t="shared" si="8"/>
        <v>617</v>
      </c>
      <c r="B150" s="15">
        <v>6</v>
      </c>
      <c r="C150" s="13" t="s">
        <v>330</v>
      </c>
      <c r="D150" s="13" t="s">
        <v>325</v>
      </c>
      <c r="E150" s="13" t="s">
        <v>1056</v>
      </c>
      <c r="F150" s="9" t="s">
        <v>60</v>
      </c>
      <c r="G150" s="9" t="s">
        <v>326</v>
      </c>
      <c r="H150" s="29" t="str">
        <f t="shared" si="7"/>
        <v>24</v>
      </c>
    </row>
    <row r="151" spans="1:8" hidden="1" x14ac:dyDescent="0.35">
      <c r="A151" s="15">
        <f t="shared" si="8"/>
        <v>618</v>
      </c>
      <c r="B151" s="15">
        <v>6</v>
      </c>
      <c r="C151" s="13" t="s">
        <v>330</v>
      </c>
      <c r="D151" s="13" t="s">
        <v>293</v>
      </c>
      <c r="E151" s="13" t="s">
        <v>1112</v>
      </c>
      <c r="F151" s="9" t="s">
        <v>1118</v>
      </c>
      <c r="G151" s="9" t="s">
        <v>294</v>
      </c>
      <c r="H151" s="29" t="str">
        <f t="shared" si="7"/>
        <v>25</v>
      </c>
    </row>
    <row r="152" spans="1:8" hidden="1" x14ac:dyDescent="0.35">
      <c r="A152" s="15">
        <f t="shared" si="8"/>
        <v>619</v>
      </c>
      <c r="B152" s="15">
        <v>6</v>
      </c>
      <c r="C152" s="13" t="s">
        <v>330</v>
      </c>
      <c r="D152" s="13" t="s">
        <v>319</v>
      </c>
      <c r="E152" s="13" t="s">
        <v>1068</v>
      </c>
      <c r="F152" s="9" t="s">
        <v>1118</v>
      </c>
      <c r="G152" s="9" t="s">
        <v>320</v>
      </c>
      <c r="H152" s="29" t="str">
        <f t="shared" si="7"/>
        <v>26</v>
      </c>
    </row>
    <row r="153" spans="1:8" hidden="1" x14ac:dyDescent="0.35">
      <c r="A153" s="15">
        <f t="shared" si="8"/>
        <v>620</v>
      </c>
      <c r="B153" s="15">
        <v>6</v>
      </c>
      <c r="C153" s="13" t="s">
        <v>330</v>
      </c>
      <c r="D153" s="13" t="s">
        <v>281</v>
      </c>
      <c r="E153" s="13" t="s">
        <v>1102</v>
      </c>
      <c r="F153" s="9" t="s">
        <v>1117</v>
      </c>
      <c r="G153" s="9" t="s">
        <v>282</v>
      </c>
      <c r="H153" s="29" t="str">
        <f t="shared" si="7"/>
        <v>36</v>
      </c>
    </row>
    <row r="154" spans="1:8" hidden="1" x14ac:dyDescent="0.35">
      <c r="A154" s="15">
        <f t="shared" si="8"/>
        <v>621</v>
      </c>
      <c r="B154" s="15">
        <v>6</v>
      </c>
      <c r="C154" s="13" t="s">
        <v>330</v>
      </c>
      <c r="D154" s="13" t="s">
        <v>328</v>
      </c>
      <c r="E154" s="13" t="s">
        <v>1063</v>
      </c>
      <c r="F154" s="9" t="s">
        <v>1117</v>
      </c>
      <c r="G154" s="9" t="s">
        <v>329</v>
      </c>
      <c r="H154" s="29" t="str">
        <f t="shared" si="7"/>
        <v>21</v>
      </c>
    </row>
    <row r="155" spans="1:8" hidden="1" x14ac:dyDescent="0.35">
      <c r="A155" s="15">
        <f t="shared" si="8"/>
        <v>622</v>
      </c>
      <c r="B155" s="15">
        <v>6</v>
      </c>
      <c r="C155" s="13" t="s">
        <v>330</v>
      </c>
      <c r="D155" s="13" t="s">
        <v>287</v>
      </c>
      <c r="E155" s="13" t="s">
        <v>1070</v>
      </c>
      <c r="F155" s="9" t="s">
        <v>60</v>
      </c>
      <c r="G155" s="9" t="s">
        <v>288</v>
      </c>
      <c r="H155" s="29" t="str">
        <f t="shared" si="7"/>
        <v>23</v>
      </c>
    </row>
    <row r="156" spans="1:8" hidden="1" x14ac:dyDescent="0.35">
      <c r="A156" s="15">
        <f t="shared" si="8"/>
        <v>623</v>
      </c>
      <c r="B156" s="15">
        <v>6</v>
      </c>
      <c r="C156" s="13" t="s">
        <v>330</v>
      </c>
      <c r="D156" s="13" t="s">
        <v>309</v>
      </c>
      <c r="E156" s="13" t="s">
        <v>1094</v>
      </c>
      <c r="F156" s="9" t="s">
        <v>1119</v>
      </c>
      <c r="G156" s="9" t="s">
        <v>310</v>
      </c>
      <c r="H156" s="29" t="str">
        <f t="shared" si="7"/>
        <v>24</v>
      </c>
    </row>
    <row r="157" spans="1:8" hidden="1" x14ac:dyDescent="0.35">
      <c r="A157" s="15">
        <f t="shared" si="8"/>
        <v>624</v>
      </c>
      <c r="B157" s="15">
        <v>6</v>
      </c>
      <c r="C157" s="13" t="s">
        <v>330</v>
      </c>
      <c r="D157" s="13" t="s">
        <v>285</v>
      </c>
      <c r="E157" s="13" t="s">
        <v>1091</v>
      </c>
      <c r="F157" s="9" t="s">
        <v>60</v>
      </c>
      <c r="G157" s="9" t="s">
        <v>286</v>
      </c>
      <c r="H157" s="29" t="str">
        <f t="shared" si="7"/>
        <v>23</v>
      </c>
    </row>
    <row r="158" spans="1:8" hidden="1" x14ac:dyDescent="0.35">
      <c r="A158" s="15">
        <f t="shared" si="8"/>
        <v>625</v>
      </c>
      <c r="B158" s="15">
        <v>6</v>
      </c>
      <c r="C158" s="13" t="s">
        <v>330</v>
      </c>
      <c r="D158" s="13" t="s">
        <v>315</v>
      </c>
      <c r="E158" s="13" t="s">
        <v>1091</v>
      </c>
      <c r="F158" s="9" t="s">
        <v>1124</v>
      </c>
      <c r="G158" s="9" t="s">
        <v>316</v>
      </c>
      <c r="H158" s="29" t="str">
        <f t="shared" si="7"/>
        <v>27</v>
      </c>
    </row>
    <row r="159" spans="1:8" hidden="1" x14ac:dyDescent="0.35">
      <c r="A159" s="15">
        <v>701</v>
      </c>
      <c r="B159" s="15">
        <v>7</v>
      </c>
      <c r="C159" s="13" t="s">
        <v>385</v>
      </c>
      <c r="D159" s="13" t="s">
        <v>366</v>
      </c>
      <c r="E159" s="13" t="s">
        <v>1051</v>
      </c>
      <c r="F159" s="9" t="s">
        <v>1118</v>
      </c>
      <c r="G159" s="9" t="s">
        <v>367</v>
      </c>
      <c r="H159" s="29" t="str">
        <f t="shared" si="7"/>
        <v>21</v>
      </c>
    </row>
    <row r="160" spans="1:8" hidden="1" x14ac:dyDescent="0.35">
      <c r="A160" s="15">
        <f>A159+1</f>
        <v>702</v>
      </c>
      <c r="B160" s="15">
        <v>7</v>
      </c>
      <c r="C160" s="13" t="s">
        <v>385</v>
      </c>
      <c r="D160" s="13" t="s">
        <v>364</v>
      </c>
      <c r="E160" s="13" t="s">
        <v>1056</v>
      </c>
      <c r="F160" s="9" t="s">
        <v>1122</v>
      </c>
      <c r="G160" s="9" t="s">
        <v>365</v>
      </c>
      <c r="H160" s="29" t="str">
        <f t="shared" si="7"/>
        <v>21</v>
      </c>
    </row>
    <row r="161" spans="1:8" hidden="1" x14ac:dyDescent="0.35">
      <c r="A161" s="15">
        <f t="shared" ref="A161:A186" si="9">A160+1</f>
        <v>703</v>
      </c>
      <c r="B161" s="15">
        <v>7</v>
      </c>
      <c r="C161" s="13" t="s">
        <v>385</v>
      </c>
      <c r="D161" s="13" t="s">
        <v>368</v>
      </c>
      <c r="E161" s="13" t="s">
        <v>1070</v>
      </c>
      <c r="F161" s="9" t="s">
        <v>60</v>
      </c>
      <c r="G161" s="9" t="s">
        <v>22</v>
      </c>
      <c r="H161" s="29" t="str">
        <f t="shared" si="7"/>
        <v>24</v>
      </c>
    </row>
    <row r="162" spans="1:8" hidden="1" x14ac:dyDescent="0.35">
      <c r="A162" s="15">
        <f t="shared" si="9"/>
        <v>704</v>
      </c>
      <c r="B162" s="15">
        <v>7</v>
      </c>
      <c r="C162" s="13" t="s">
        <v>385</v>
      </c>
      <c r="D162" s="13" t="s">
        <v>358</v>
      </c>
      <c r="E162" s="13" t="s">
        <v>1068</v>
      </c>
      <c r="F162" s="9" t="s">
        <v>1122</v>
      </c>
      <c r="G162" s="9" t="s">
        <v>359</v>
      </c>
      <c r="H162" s="29" t="str">
        <f t="shared" si="7"/>
        <v>23</v>
      </c>
    </row>
    <row r="163" spans="1:8" hidden="1" x14ac:dyDescent="0.35">
      <c r="A163" s="15">
        <f t="shared" si="9"/>
        <v>705</v>
      </c>
      <c r="B163" s="15">
        <v>7</v>
      </c>
      <c r="C163" s="13" t="s">
        <v>385</v>
      </c>
      <c r="D163" s="13" t="s">
        <v>381</v>
      </c>
      <c r="E163" s="13" t="s">
        <v>1096</v>
      </c>
      <c r="F163" s="9" t="s">
        <v>1122</v>
      </c>
      <c r="G163" s="9" t="s">
        <v>382</v>
      </c>
      <c r="H163" s="29" t="str">
        <f t="shared" si="7"/>
        <v>20</v>
      </c>
    </row>
    <row r="164" spans="1:8" hidden="1" x14ac:dyDescent="0.35">
      <c r="A164" s="15">
        <f t="shared" si="9"/>
        <v>706</v>
      </c>
      <c r="B164" s="15">
        <v>7</v>
      </c>
      <c r="C164" s="13" t="s">
        <v>385</v>
      </c>
      <c r="D164" s="13" t="s">
        <v>333</v>
      </c>
      <c r="E164" s="13" t="s">
        <v>1051</v>
      </c>
      <c r="F164" s="9" t="s">
        <v>1122</v>
      </c>
      <c r="G164" s="9" t="s">
        <v>334</v>
      </c>
      <c r="H164" s="29" t="str">
        <f t="shared" si="7"/>
        <v>24</v>
      </c>
    </row>
    <row r="165" spans="1:8" hidden="1" x14ac:dyDescent="0.35">
      <c r="A165" s="15">
        <f t="shared" si="9"/>
        <v>707</v>
      </c>
      <c r="B165" s="15">
        <v>7</v>
      </c>
      <c r="C165" s="13" t="s">
        <v>385</v>
      </c>
      <c r="D165" s="13" t="s">
        <v>346</v>
      </c>
      <c r="E165" s="13" t="s">
        <v>1056</v>
      </c>
      <c r="F165" s="9" t="s">
        <v>1118</v>
      </c>
      <c r="G165" s="9" t="s">
        <v>347</v>
      </c>
      <c r="H165" s="29" t="str">
        <f t="shared" si="7"/>
        <v>18</v>
      </c>
    </row>
    <row r="166" spans="1:8" hidden="1" x14ac:dyDescent="0.35">
      <c r="A166" s="15">
        <f t="shared" si="9"/>
        <v>708</v>
      </c>
      <c r="B166" s="15">
        <v>7</v>
      </c>
      <c r="C166" s="13" t="s">
        <v>385</v>
      </c>
      <c r="D166" s="13" t="s">
        <v>369</v>
      </c>
      <c r="E166" s="13" t="s">
        <v>1051</v>
      </c>
      <c r="F166" s="9" t="s">
        <v>1122</v>
      </c>
      <c r="G166" s="9" t="s">
        <v>370</v>
      </c>
      <c r="H166" s="29" t="str">
        <f t="shared" si="7"/>
        <v>20</v>
      </c>
    </row>
    <row r="167" spans="1:8" hidden="1" x14ac:dyDescent="0.35">
      <c r="A167" s="15">
        <f t="shared" si="9"/>
        <v>709</v>
      </c>
      <c r="B167" s="15">
        <v>7</v>
      </c>
      <c r="C167" s="13" t="s">
        <v>385</v>
      </c>
      <c r="D167" s="13" t="s">
        <v>373</v>
      </c>
      <c r="E167" s="13" t="s">
        <v>1064</v>
      </c>
      <c r="F167" s="9" t="s">
        <v>1117</v>
      </c>
      <c r="G167" s="9" t="s">
        <v>374</v>
      </c>
      <c r="H167" s="29" t="str">
        <f t="shared" si="7"/>
        <v>23</v>
      </c>
    </row>
    <row r="168" spans="1:8" hidden="1" x14ac:dyDescent="0.35">
      <c r="A168" s="15">
        <f t="shared" si="9"/>
        <v>710</v>
      </c>
      <c r="B168" s="15">
        <v>7</v>
      </c>
      <c r="C168" s="13" t="s">
        <v>385</v>
      </c>
      <c r="D168" s="13" t="s">
        <v>383</v>
      </c>
      <c r="E168" s="13" t="s">
        <v>1108</v>
      </c>
      <c r="F168" s="9" t="s">
        <v>1117</v>
      </c>
      <c r="G168" s="9" t="s">
        <v>384</v>
      </c>
      <c r="H168" s="29" t="str">
        <f t="shared" si="7"/>
        <v>21</v>
      </c>
    </row>
    <row r="169" spans="1:8" hidden="1" x14ac:dyDescent="0.35">
      <c r="A169" s="15">
        <f t="shared" si="9"/>
        <v>711</v>
      </c>
      <c r="B169" s="15">
        <v>7</v>
      </c>
      <c r="C169" s="13" t="s">
        <v>385</v>
      </c>
      <c r="D169" s="13" t="s">
        <v>356</v>
      </c>
      <c r="E169" s="13" t="s">
        <v>1068</v>
      </c>
      <c r="F169" s="9" t="s">
        <v>1118</v>
      </c>
      <c r="G169" s="9" t="s">
        <v>357</v>
      </c>
      <c r="H169" s="29" t="str">
        <f t="shared" si="7"/>
        <v>21</v>
      </c>
    </row>
    <row r="170" spans="1:8" hidden="1" x14ac:dyDescent="0.35">
      <c r="A170" s="15">
        <f t="shared" si="9"/>
        <v>712</v>
      </c>
      <c r="B170" s="15">
        <v>7</v>
      </c>
      <c r="C170" s="13" t="s">
        <v>385</v>
      </c>
      <c r="D170" s="13" t="s">
        <v>335</v>
      </c>
      <c r="E170" s="13" t="s">
        <v>1056</v>
      </c>
      <c r="F170" s="9" t="s">
        <v>1124</v>
      </c>
      <c r="G170" s="9" t="s">
        <v>336</v>
      </c>
      <c r="H170" s="29" t="str">
        <f t="shared" si="7"/>
        <v>24</v>
      </c>
    </row>
    <row r="171" spans="1:8" hidden="1" x14ac:dyDescent="0.35">
      <c r="A171" s="15">
        <f t="shared" si="9"/>
        <v>713</v>
      </c>
      <c r="B171" s="15">
        <v>7</v>
      </c>
      <c r="C171" s="13" t="s">
        <v>385</v>
      </c>
      <c r="D171" s="13" t="s">
        <v>354</v>
      </c>
      <c r="E171" s="13" t="s">
        <v>1091</v>
      </c>
      <c r="F171" s="9" t="s">
        <v>60</v>
      </c>
      <c r="G171" s="9" t="s">
        <v>355</v>
      </c>
      <c r="H171" s="29" t="str">
        <f t="shared" si="7"/>
        <v>19</v>
      </c>
    </row>
    <row r="172" spans="1:8" hidden="1" x14ac:dyDescent="0.35">
      <c r="A172" s="15">
        <f t="shared" si="9"/>
        <v>714</v>
      </c>
      <c r="B172" s="15">
        <v>7</v>
      </c>
      <c r="C172" s="13" t="s">
        <v>385</v>
      </c>
      <c r="D172" s="13" t="s">
        <v>352</v>
      </c>
      <c r="E172" s="13" t="s">
        <v>1068</v>
      </c>
      <c r="F172" s="9" t="s">
        <v>60</v>
      </c>
      <c r="G172" s="9" t="s">
        <v>353</v>
      </c>
      <c r="H172" s="29" t="str">
        <f t="shared" si="7"/>
        <v>19</v>
      </c>
    </row>
    <row r="173" spans="1:8" hidden="1" x14ac:dyDescent="0.35">
      <c r="A173" s="15">
        <f t="shared" si="9"/>
        <v>715</v>
      </c>
      <c r="B173" s="15">
        <v>7</v>
      </c>
      <c r="C173" s="13" t="s">
        <v>385</v>
      </c>
      <c r="D173" s="13" t="s">
        <v>379</v>
      </c>
      <c r="E173" s="13" t="s">
        <v>1068</v>
      </c>
      <c r="F173" s="9" t="s">
        <v>1122</v>
      </c>
      <c r="G173" s="9" t="s">
        <v>380</v>
      </c>
      <c r="H173" s="29" t="str">
        <f t="shared" si="7"/>
        <v>17</v>
      </c>
    </row>
    <row r="174" spans="1:8" hidden="1" x14ac:dyDescent="0.35">
      <c r="A174" s="15">
        <f t="shared" si="9"/>
        <v>716</v>
      </c>
      <c r="B174" s="15">
        <v>7</v>
      </c>
      <c r="C174" s="13" t="s">
        <v>385</v>
      </c>
      <c r="D174" s="13" t="s">
        <v>362</v>
      </c>
      <c r="E174" s="13" t="s">
        <v>1068</v>
      </c>
      <c r="F174" s="9" t="s">
        <v>1118</v>
      </c>
      <c r="G174" s="9" t="s">
        <v>363</v>
      </c>
      <c r="H174" s="29" t="str">
        <f t="shared" si="7"/>
        <v>22</v>
      </c>
    </row>
    <row r="175" spans="1:8" hidden="1" x14ac:dyDescent="0.35">
      <c r="A175" s="15">
        <f t="shared" si="9"/>
        <v>717</v>
      </c>
      <c r="B175" s="15">
        <v>7</v>
      </c>
      <c r="C175" s="13" t="s">
        <v>385</v>
      </c>
      <c r="D175" s="13" t="s">
        <v>350</v>
      </c>
      <c r="E175" s="13" t="s">
        <v>1070</v>
      </c>
      <c r="F175" s="9" t="s">
        <v>1126</v>
      </c>
      <c r="G175" s="9" t="s">
        <v>351</v>
      </c>
      <c r="H175" s="29" t="str">
        <f t="shared" si="7"/>
        <v>22</v>
      </c>
    </row>
    <row r="176" spans="1:8" hidden="1" x14ac:dyDescent="0.35">
      <c r="A176" s="15">
        <f t="shared" si="9"/>
        <v>718</v>
      </c>
      <c r="B176" s="15">
        <v>7</v>
      </c>
      <c r="C176" s="13" t="s">
        <v>385</v>
      </c>
      <c r="D176" s="13" t="s">
        <v>340</v>
      </c>
      <c r="E176" s="13" t="s">
        <v>1069</v>
      </c>
      <c r="F176" s="9" t="s">
        <v>60</v>
      </c>
      <c r="G176" s="9" t="s">
        <v>341</v>
      </c>
      <c r="H176" s="29" t="str">
        <f t="shared" si="7"/>
        <v>27</v>
      </c>
    </row>
    <row r="177" spans="1:8" hidden="1" x14ac:dyDescent="0.35">
      <c r="A177" s="15">
        <f t="shared" si="9"/>
        <v>719</v>
      </c>
      <c r="B177" s="15">
        <v>7</v>
      </c>
      <c r="C177" s="13" t="s">
        <v>385</v>
      </c>
      <c r="D177" s="13" t="s">
        <v>377</v>
      </c>
      <c r="E177" s="13" t="s">
        <v>1069</v>
      </c>
      <c r="F177" s="9" t="s">
        <v>1118</v>
      </c>
      <c r="G177" s="9" t="s">
        <v>378</v>
      </c>
      <c r="H177" s="29" t="str">
        <f t="shared" si="7"/>
        <v>19</v>
      </c>
    </row>
    <row r="178" spans="1:8" hidden="1" x14ac:dyDescent="0.35">
      <c r="A178" s="15">
        <f t="shared" si="9"/>
        <v>720</v>
      </c>
      <c r="B178" s="15">
        <v>7</v>
      </c>
      <c r="C178" s="13" t="s">
        <v>385</v>
      </c>
      <c r="D178" s="13" t="s">
        <v>331</v>
      </c>
      <c r="E178" s="13" t="s">
        <v>1066</v>
      </c>
      <c r="F178" s="9" t="s">
        <v>1122</v>
      </c>
      <c r="G178" s="9" t="s">
        <v>332</v>
      </c>
      <c r="H178" s="29" t="str">
        <f t="shared" si="7"/>
        <v>23</v>
      </c>
    </row>
    <row r="179" spans="1:8" hidden="1" x14ac:dyDescent="0.35">
      <c r="A179" s="15">
        <f t="shared" si="9"/>
        <v>721</v>
      </c>
      <c r="B179" s="15">
        <v>7</v>
      </c>
      <c r="C179" s="13" t="s">
        <v>385</v>
      </c>
      <c r="D179" s="13" t="s">
        <v>338</v>
      </c>
      <c r="E179" s="13" t="s">
        <v>1096</v>
      </c>
      <c r="F179" s="9" t="s">
        <v>1118</v>
      </c>
      <c r="G179" s="9" t="s">
        <v>339</v>
      </c>
      <c r="H179" s="29" t="str">
        <f t="shared" si="7"/>
        <v>25</v>
      </c>
    </row>
    <row r="180" spans="1:8" hidden="1" x14ac:dyDescent="0.35">
      <c r="A180" s="15">
        <f t="shared" si="9"/>
        <v>722</v>
      </c>
      <c r="B180" s="15">
        <v>7</v>
      </c>
      <c r="C180" s="13" t="s">
        <v>385</v>
      </c>
      <c r="D180" s="13" t="s">
        <v>344</v>
      </c>
      <c r="E180" s="13" t="s">
        <v>1068</v>
      </c>
      <c r="F180" s="9" t="s">
        <v>60</v>
      </c>
      <c r="G180" s="9" t="s">
        <v>345</v>
      </c>
      <c r="H180" s="29" t="str">
        <f t="shared" si="7"/>
        <v>25</v>
      </c>
    </row>
    <row r="181" spans="1:8" hidden="1" x14ac:dyDescent="0.35">
      <c r="A181" s="15">
        <f t="shared" si="9"/>
        <v>723</v>
      </c>
      <c r="B181" s="15">
        <v>7</v>
      </c>
      <c r="C181" s="13" t="s">
        <v>385</v>
      </c>
      <c r="D181" s="13" t="s">
        <v>337</v>
      </c>
      <c r="E181" s="13" t="s">
        <v>1069</v>
      </c>
      <c r="F181" s="9" t="s">
        <v>1117</v>
      </c>
      <c r="G181" s="9" t="s">
        <v>273</v>
      </c>
      <c r="H181" s="29" t="str">
        <f t="shared" si="7"/>
        <v>27</v>
      </c>
    </row>
    <row r="182" spans="1:8" hidden="1" x14ac:dyDescent="0.35">
      <c r="A182" s="15">
        <f t="shared" si="9"/>
        <v>724</v>
      </c>
      <c r="B182" s="15">
        <v>7</v>
      </c>
      <c r="C182" s="13" t="s">
        <v>385</v>
      </c>
      <c r="D182" s="13" t="s">
        <v>375</v>
      </c>
      <c r="E182" s="13" t="s">
        <v>1053</v>
      </c>
      <c r="F182" s="9" t="s">
        <v>1122</v>
      </c>
      <c r="G182" s="9" t="s">
        <v>376</v>
      </c>
      <c r="H182" s="29" t="str">
        <f t="shared" si="7"/>
        <v>21</v>
      </c>
    </row>
    <row r="183" spans="1:8" hidden="1" x14ac:dyDescent="0.35">
      <c r="A183" s="15">
        <f t="shared" si="9"/>
        <v>725</v>
      </c>
      <c r="B183" s="15">
        <v>7</v>
      </c>
      <c r="C183" s="13" t="s">
        <v>385</v>
      </c>
      <c r="D183" s="13" t="s">
        <v>348</v>
      </c>
      <c r="E183" s="13" t="s">
        <v>1068</v>
      </c>
      <c r="F183" s="9" t="s">
        <v>60</v>
      </c>
      <c r="G183" s="9" t="s">
        <v>349</v>
      </c>
      <c r="H183" s="29" t="str">
        <f t="shared" si="7"/>
        <v>28</v>
      </c>
    </row>
    <row r="184" spans="1:8" hidden="1" x14ac:dyDescent="0.35">
      <c r="A184" s="15">
        <f t="shared" si="9"/>
        <v>726</v>
      </c>
      <c r="B184" s="15">
        <v>7</v>
      </c>
      <c r="C184" s="13" t="s">
        <v>385</v>
      </c>
      <c r="D184" s="13" t="s">
        <v>342</v>
      </c>
      <c r="E184" s="13" t="s">
        <v>1068</v>
      </c>
      <c r="F184" s="9" t="s">
        <v>60</v>
      </c>
      <c r="G184" s="9" t="s">
        <v>343</v>
      </c>
      <c r="H184" s="29" t="str">
        <f t="shared" si="7"/>
        <v>26</v>
      </c>
    </row>
    <row r="185" spans="1:8" hidden="1" x14ac:dyDescent="0.35">
      <c r="A185" s="15">
        <f t="shared" si="9"/>
        <v>727</v>
      </c>
      <c r="B185" s="15">
        <v>7</v>
      </c>
      <c r="C185" s="13" t="s">
        <v>385</v>
      </c>
      <c r="D185" s="13" t="s">
        <v>371</v>
      </c>
      <c r="E185" s="13" t="s">
        <v>1068</v>
      </c>
      <c r="F185" s="9" t="s">
        <v>1118</v>
      </c>
      <c r="G185" s="9" t="s">
        <v>372</v>
      </c>
      <c r="H185" s="29" t="str">
        <f t="shared" si="7"/>
        <v>19</v>
      </c>
    </row>
    <row r="186" spans="1:8" hidden="1" x14ac:dyDescent="0.35">
      <c r="A186" s="15">
        <f t="shared" si="9"/>
        <v>728</v>
      </c>
      <c r="B186" s="15">
        <v>7</v>
      </c>
      <c r="C186" s="13" t="s">
        <v>385</v>
      </c>
      <c r="D186" s="13" t="s">
        <v>360</v>
      </c>
      <c r="E186" s="13" t="s">
        <v>1070</v>
      </c>
      <c r="F186" s="9" t="s">
        <v>60</v>
      </c>
      <c r="G186" s="9" t="s">
        <v>361</v>
      </c>
      <c r="H186" s="29" t="str">
        <f t="shared" si="7"/>
        <v>24</v>
      </c>
    </row>
    <row r="187" spans="1:8" hidden="1" x14ac:dyDescent="0.35">
      <c r="A187" s="15">
        <v>801</v>
      </c>
      <c r="B187" s="15">
        <v>8</v>
      </c>
      <c r="C187" s="13" t="s">
        <v>438</v>
      </c>
      <c r="D187" s="13" t="s">
        <v>400</v>
      </c>
      <c r="E187" s="13" t="s">
        <v>1068</v>
      </c>
      <c r="F187" s="9" t="s">
        <v>1122</v>
      </c>
      <c r="G187" s="9" t="s">
        <v>401</v>
      </c>
      <c r="H187" s="29" t="str">
        <f t="shared" si="7"/>
        <v>21</v>
      </c>
    </row>
    <row r="188" spans="1:8" hidden="1" x14ac:dyDescent="0.35">
      <c r="A188" s="15">
        <f>A187+1</f>
        <v>802</v>
      </c>
      <c r="B188" s="15">
        <v>8</v>
      </c>
      <c r="C188" s="13" t="s">
        <v>438</v>
      </c>
      <c r="D188" s="13" t="s">
        <v>436</v>
      </c>
      <c r="E188" s="13" t="s">
        <v>1076</v>
      </c>
      <c r="F188" s="9" t="s">
        <v>1126</v>
      </c>
      <c r="G188" s="9" t="s">
        <v>437</v>
      </c>
      <c r="H188" s="29" t="str">
        <f t="shared" si="7"/>
        <v>27</v>
      </c>
    </row>
    <row r="189" spans="1:8" hidden="1" x14ac:dyDescent="0.35">
      <c r="A189" s="15">
        <f t="shared" ref="A189:A213" si="10">A188+1</f>
        <v>803</v>
      </c>
      <c r="B189" s="15">
        <v>8</v>
      </c>
      <c r="C189" s="13" t="s">
        <v>438</v>
      </c>
      <c r="D189" s="13" t="s">
        <v>396</v>
      </c>
      <c r="E189" s="13" t="s">
        <v>1108</v>
      </c>
      <c r="F189" s="9" t="s">
        <v>60</v>
      </c>
      <c r="G189" s="9" t="s">
        <v>397</v>
      </c>
      <c r="H189" s="29" t="str">
        <f t="shared" si="7"/>
        <v>25</v>
      </c>
    </row>
    <row r="190" spans="1:8" hidden="1" x14ac:dyDescent="0.35">
      <c r="A190" s="15">
        <f t="shared" si="10"/>
        <v>804</v>
      </c>
      <c r="B190" s="15">
        <v>8</v>
      </c>
      <c r="C190" s="13" t="s">
        <v>438</v>
      </c>
      <c r="D190" s="13" t="s">
        <v>419</v>
      </c>
      <c r="E190" s="13" t="s">
        <v>1089</v>
      </c>
      <c r="F190" s="9" t="s">
        <v>1122</v>
      </c>
      <c r="G190" s="9" t="s">
        <v>351</v>
      </c>
      <c r="H190" s="29" t="str">
        <f t="shared" si="7"/>
        <v>22</v>
      </c>
    </row>
    <row r="191" spans="1:8" hidden="1" x14ac:dyDescent="0.35">
      <c r="A191" s="15">
        <f t="shared" si="10"/>
        <v>805</v>
      </c>
      <c r="B191" s="15">
        <v>8</v>
      </c>
      <c r="C191" s="13" t="s">
        <v>438</v>
      </c>
      <c r="D191" s="13" t="s">
        <v>402</v>
      </c>
      <c r="E191" s="13" t="s">
        <v>1084</v>
      </c>
      <c r="F191" s="9" t="s">
        <v>1122</v>
      </c>
      <c r="G191" s="9" t="s">
        <v>403</v>
      </c>
      <c r="H191" s="29" t="str">
        <f t="shared" si="7"/>
        <v>29</v>
      </c>
    </row>
    <row r="192" spans="1:8" hidden="1" x14ac:dyDescent="0.35">
      <c r="A192" s="15">
        <f t="shared" si="10"/>
        <v>806</v>
      </c>
      <c r="B192" s="15">
        <v>8</v>
      </c>
      <c r="C192" s="13" t="s">
        <v>438</v>
      </c>
      <c r="D192" s="13" t="s">
        <v>394</v>
      </c>
      <c r="E192" s="13" t="s">
        <v>1061</v>
      </c>
      <c r="F192" s="9" t="s">
        <v>1126</v>
      </c>
      <c r="G192" s="9" t="s">
        <v>395</v>
      </c>
      <c r="H192" s="29" t="str">
        <f t="shared" si="7"/>
        <v>29</v>
      </c>
    </row>
    <row r="193" spans="1:8" hidden="1" x14ac:dyDescent="0.35">
      <c r="A193" s="15">
        <f t="shared" si="10"/>
        <v>807</v>
      </c>
      <c r="B193" s="15">
        <v>8</v>
      </c>
      <c r="C193" s="13" t="s">
        <v>438</v>
      </c>
      <c r="D193" s="13" t="s">
        <v>388</v>
      </c>
      <c r="E193" s="13" t="s">
        <v>1068</v>
      </c>
      <c r="F193" s="9" t="s">
        <v>1117</v>
      </c>
      <c r="G193" s="9" t="s">
        <v>389</v>
      </c>
      <c r="H193" s="29" t="str">
        <f t="shared" si="7"/>
        <v>28</v>
      </c>
    </row>
    <row r="194" spans="1:8" hidden="1" x14ac:dyDescent="0.35">
      <c r="A194" s="15">
        <f t="shared" si="10"/>
        <v>808</v>
      </c>
      <c r="B194" s="15">
        <v>8</v>
      </c>
      <c r="C194" s="13" t="s">
        <v>438</v>
      </c>
      <c r="D194" s="13" t="s">
        <v>29</v>
      </c>
      <c r="E194" s="13" t="s">
        <v>1068</v>
      </c>
      <c r="F194" s="9" t="s">
        <v>1122</v>
      </c>
      <c r="G194" s="9" t="s">
        <v>414</v>
      </c>
      <c r="H194" s="29" t="str">
        <f t="shared" ref="H194:H257" si="11">LEFT(G194,2)</f>
        <v>27</v>
      </c>
    </row>
    <row r="195" spans="1:8" hidden="1" x14ac:dyDescent="0.35">
      <c r="A195" s="15">
        <f t="shared" si="10"/>
        <v>809</v>
      </c>
      <c r="B195" s="15">
        <v>8</v>
      </c>
      <c r="C195" s="13" t="s">
        <v>438</v>
      </c>
      <c r="D195" s="13" t="s">
        <v>415</v>
      </c>
      <c r="E195" s="13" t="s">
        <v>1068</v>
      </c>
      <c r="F195" s="9" t="s">
        <v>1123</v>
      </c>
      <c r="G195" s="9" t="s">
        <v>416</v>
      </c>
      <c r="H195" s="29" t="str">
        <f t="shared" si="11"/>
        <v>26</v>
      </c>
    </row>
    <row r="196" spans="1:8" hidden="1" x14ac:dyDescent="0.35">
      <c r="A196" s="15">
        <f t="shared" si="10"/>
        <v>810</v>
      </c>
      <c r="B196" s="15">
        <v>8</v>
      </c>
      <c r="C196" s="13" t="s">
        <v>438</v>
      </c>
      <c r="D196" s="13" t="s">
        <v>404</v>
      </c>
      <c r="E196" s="13" t="s">
        <v>1103</v>
      </c>
      <c r="F196" s="9" t="s">
        <v>1123</v>
      </c>
      <c r="G196" s="9" t="s">
        <v>405</v>
      </c>
      <c r="H196" s="29" t="str">
        <f t="shared" si="11"/>
        <v>27</v>
      </c>
    </row>
    <row r="197" spans="1:8" hidden="1" x14ac:dyDescent="0.35">
      <c r="A197" s="15">
        <f t="shared" si="10"/>
        <v>811</v>
      </c>
      <c r="B197" s="15">
        <v>8</v>
      </c>
      <c r="C197" s="13" t="s">
        <v>438</v>
      </c>
      <c r="D197" s="13" t="s">
        <v>426</v>
      </c>
      <c r="E197" s="13" t="s">
        <v>1070</v>
      </c>
      <c r="F197" s="9" t="s">
        <v>1122</v>
      </c>
      <c r="G197" s="9" t="s">
        <v>427</v>
      </c>
      <c r="H197" s="29" t="str">
        <f t="shared" si="11"/>
        <v>19</v>
      </c>
    </row>
    <row r="198" spans="1:8" hidden="1" x14ac:dyDescent="0.35">
      <c r="A198" s="15">
        <f t="shared" si="10"/>
        <v>812</v>
      </c>
      <c r="B198" s="15">
        <v>8</v>
      </c>
      <c r="C198" s="13" t="s">
        <v>438</v>
      </c>
      <c r="D198" s="13" t="s">
        <v>398</v>
      </c>
      <c r="E198" s="13" t="s">
        <v>1070</v>
      </c>
      <c r="F198" s="9" t="s">
        <v>1118</v>
      </c>
      <c r="G198" s="9" t="s">
        <v>399</v>
      </c>
      <c r="H198" s="29" t="str">
        <f t="shared" si="11"/>
        <v>28</v>
      </c>
    </row>
    <row r="199" spans="1:8" hidden="1" x14ac:dyDescent="0.35">
      <c r="A199" s="15">
        <f t="shared" si="10"/>
        <v>813</v>
      </c>
      <c r="B199" s="15">
        <v>8</v>
      </c>
      <c r="C199" s="13" t="s">
        <v>438</v>
      </c>
      <c r="D199" s="13" t="s">
        <v>410</v>
      </c>
      <c r="E199" s="13" t="s">
        <v>1061</v>
      </c>
      <c r="F199" s="9" t="s">
        <v>1122</v>
      </c>
      <c r="G199" s="9" t="s">
        <v>411</v>
      </c>
      <c r="H199" s="29" t="str">
        <f t="shared" si="11"/>
        <v>30</v>
      </c>
    </row>
    <row r="200" spans="1:8" hidden="1" x14ac:dyDescent="0.35">
      <c r="A200" s="15">
        <f t="shared" si="10"/>
        <v>814</v>
      </c>
      <c r="B200" s="15">
        <v>8</v>
      </c>
      <c r="C200" s="13" t="s">
        <v>438</v>
      </c>
      <c r="D200" s="13" t="s">
        <v>432</v>
      </c>
      <c r="E200" s="13" t="s">
        <v>1068</v>
      </c>
      <c r="F200" s="9" t="s">
        <v>1124</v>
      </c>
      <c r="G200" s="9" t="s">
        <v>433</v>
      </c>
      <c r="H200" s="29" t="str">
        <f t="shared" si="11"/>
        <v>23</v>
      </c>
    </row>
    <row r="201" spans="1:8" hidden="1" x14ac:dyDescent="0.35">
      <c r="A201" s="15">
        <f t="shared" si="10"/>
        <v>815</v>
      </c>
      <c r="B201" s="15">
        <v>8</v>
      </c>
      <c r="C201" s="13" t="s">
        <v>438</v>
      </c>
      <c r="D201" s="13" t="s">
        <v>412</v>
      </c>
      <c r="E201" s="13" t="s">
        <v>1090</v>
      </c>
      <c r="F201" s="9" t="s">
        <v>1123</v>
      </c>
      <c r="G201" s="9" t="s">
        <v>413</v>
      </c>
      <c r="H201" s="29" t="str">
        <f t="shared" si="11"/>
        <v>21</v>
      </c>
    </row>
    <row r="202" spans="1:8" hidden="1" x14ac:dyDescent="0.35">
      <c r="A202" s="15">
        <f t="shared" si="10"/>
        <v>816</v>
      </c>
      <c r="B202" s="15">
        <v>8</v>
      </c>
      <c r="C202" s="13" t="s">
        <v>438</v>
      </c>
      <c r="D202" s="13" t="s">
        <v>434</v>
      </c>
      <c r="E202" s="13" t="s">
        <v>1068</v>
      </c>
      <c r="F202" s="9" t="s">
        <v>1126</v>
      </c>
      <c r="G202" s="9" t="s">
        <v>435</v>
      </c>
      <c r="H202" s="29" t="str">
        <f t="shared" si="11"/>
        <v>21</v>
      </c>
    </row>
    <row r="203" spans="1:8" hidden="1" x14ac:dyDescent="0.35">
      <c r="A203" s="15">
        <f t="shared" si="10"/>
        <v>817</v>
      </c>
      <c r="B203" s="15">
        <v>8</v>
      </c>
      <c r="C203" s="13" t="s">
        <v>438</v>
      </c>
      <c r="D203" s="13" t="s">
        <v>386</v>
      </c>
      <c r="E203" s="13" t="s">
        <v>1068</v>
      </c>
      <c r="F203" s="9" t="s">
        <v>60</v>
      </c>
      <c r="G203" s="9" t="s">
        <v>387</v>
      </c>
      <c r="H203" s="29" t="str">
        <f t="shared" si="11"/>
        <v>25</v>
      </c>
    </row>
    <row r="204" spans="1:8" hidden="1" x14ac:dyDescent="0.35">
      <c r="A204" s="15">
        <f t="shared" si="10"/>
        <v>818</v>
      </c>
      <c r="B204" s="15">
        <v>8</v>
      </c>
      <c r="C204" s="13" t="s">
        <v>438</v>
      </c>
      <c r="D204" s="13" t="s">
        <v>390</v>
      </c>
      <c r="E204" s="13" t="s">
        <v>1070</v>
      </c>
      <c r="F204" s="9" t="s">
        <v>60</v>
      </c>
      <c r="G204" s="9" t="s">
        <v>391</v>
      </c>
      <c r="H204" s="29" t="str">
        <f t="shared" si="11"/>
        <v>25</v>
      </c>
    </row>
    <row r="205" spans="1:8" hidden="1" x14ac:dyDescent="0.35">
      <c r="A205" s="15">
        <f t="shared" si="10"/>
        <v>819</v>
      </c>
      <c r="B205" s="15">
        <v>8</v>
      </c>
      <c r="C205" s="13" t="s">
        <v>438</v>
      </c>
      <c r="D205" s="13" t="s">
        <v>420</v>
      </c>
      <c r="E205" s="13" t="s">
        <v>1068</v>
      </c>
      <c r="F205" s="9" t="s">
        <v>60</v>
      </c>
      <c r="G205" s="9" t="s">
        <v>421</v>
      </c>
      <c r="H205" s="29" t="str">
        <f t="shared" si="11"/>
        <v>34</v>
      </c>
    </row>
    <row r="206" spans="1:8" hidden="1" x14ac:dyDescent="0.35">
      <c r="A206" s="15">
        <f t="shared" si="10"/>
        <v>820</v>
      </c>
      <c r="B206" s="15">
        <v>8</v>
      </c>
      <c r="C206" s="13" t="s">
        <v>438</v>
      </c>
      <c r="D206" s="13" t="s">
        <v>422</v>
      </c>
      <c r="E206" s="13" t="s">
        <v>1070</v>
      </c>
      <c r="F206" s="9" t="s">
        <v>1118</v>
      </c>
      <c r="G206" s="9" t="s">
        <v>423</v>
      </c>
      <c r="H206" s="29" t="str">
        <f t="shared" si="11"/>
        <v>27</v>
      </c>
    </row>
    <row r="207" spans="1:8" hidden="1" x14ac:dyDescent="0.35">
      <c r="A207" s="15">
        <f t="shared" si="10"/>
        <v>821</v>
      </c>
      <c r="B207" s="15">
        <v>8</v>
      </c>
      <c r="C207" s="13" t="s">
        <v>438</v>
      </c>
      <c r="D207" s="13" t="s">
        <v>430</v>
      </c>
      <c r="E207" s="13" t="s">
        <v>1068</v>
      </c>
      <c r="F207" s="9" t="s">
        <v>1117</v>
      </c>
      <c r="G207" s="9" t="s">
        <v>431</v>
      </c>
      <c r="H207" s="29" t="str">
        <f t="shared" si="11"/>
        <v>31</v>
      </c>
    </row>
    <row r="208" spans="1:8" hidden="1" x14ac:dyDescent="0.35">
      <c r="A208" s="15">
        <f t="shared" si="10"/>
        <v>822</v>
      </c>
      <c r="B208" s="15">
        <v>8</v>
      </c>
      <c r="C208" s="13" t="s">
        <v>438</v>
      </c>
      <c r="D208" s="13" t="s">
        <v>428</v>
      </c>
      <c r="E208" s="13" t="s">
        <v>1106</v>
      </c>
      <c r="F208" s="9" t="s">
        <v>1122</v>
      </c>
      <c r="G208" s="9" t="s">
        <v>429</v>
      </c>
      <c r="H208" s="29" t="str">
        <f t="shared" si="11"/>
        <v>19</v>
      </c>
    </row>
    <row r="209" spans="1:8" hidden="1" x14ac:dyDescent="0.35">
      <c r="A209" s="15">
        <f t="shared" si="10"/>
        <v>823</v>
      </c>
      <c r="B209" s="15">
        <v>8</v>
      </c>
      <c r="C209" s="13" t="s">
        <v>438</v>
      </c>
      <c r="D209" s="13" t="s">
        <v>417</v>
      </c>
      <c r="E209" s="13" t="s">
        <v>1068</v>
      </c>
      <c r="F209" s="9" t="s">
        <v>1118</v>
      </c>
      <c r="G209" s="9" t="s">
        <v>418</v>
      </c>
      <c r="H209" s="29" t="str">
        <f t="shared" si="11"/>
        <v>20</v>
      </c>
    </row>
    <row r="210" spans="1:8" hidden="1" x14ac:dyDescent="0.35">
      <c r="A210" s="15">
        <f t="shared" si="10"/>
        <v>824</v>
      </c>
      <c r="B210" s="15">
        <v>8</v>
      </c>
      <c r="C210" s="13" t="s">
        <v>438</v>
      </c>
      <c r="D210" s="13" t="s">
        <v>392</v>
      </c>
      <c r="E210" s="13" t="s">
        <v>1068</v>
      </c>
      <c r="F210" s="9" t="s">
        <v>1126</v>
      </c>
      <c r="G210" s="9" t="s">
        <v>393</v>
      </c>
      <c r="H210" s="29" t="str">
        <f t="shared" si="11"/>
        <v>26</v>
      </c>
    </row>
    <row r="211" spans="1:8" hidden="1" x14ac:dyDescent="0.35">
      <c r="A211" s="15">
        <f t="shared" si="10"/>
        <v>825</v>
      </c>
      <c r="B211" s="15">
        <v>8</v>
      </c>
      <c r="C211" s="13" t="s">
        <v>438</v>
      </c>
      <c r="D211" s="13" t="s">
        <v>424</v>
      </c>
      <c r="E211" s="13" t="s">
        <v>1051</v>
      </c>
      <c r="F211" s="9" t="s">
        <v>1117</v>
      </c>
      <c r="G211" s="9" t="s">
        <v>425</v>
      </c>
      <c r="H211" s="29" t="str">
        <f t="shared" si="11"/>
        <v>32</v>
      </c>
    </row>
    <row r="212" spans="1:8" hidden="1" x14ac:dyDescent="0.35">
      <c r="A212" s="15">
        <f t="shared" si="10"/>
        <v>826</v>
      </c>
      <c r="B212" s="15">
        <v>8</v>
      </c>
      <c r="C212" s="13" t="s">
        <v>438</v>
      </c>
      <c r="D212" s="13" t="s">
        <v>406</v>
      </c>
      <c r="E212" s="13" t="s">
        <v>1068</v>
      </c>
      <c r="F212" s="9" t="s">
        <v>1122</v>
      </c>
      <c r="G212" s="9" t="s">
        <v>407</v>
      </c>
      <c r="H212" s="29" t="str">
        <f t="shared" si="11"/>
        <v>30</v>
      </c>
    </row>
    <row r="213" spans="1:8" hidden="1" x14ac:dyDescent="0.35">
      <c r="A213" s="15">
        <f t="shared" si="10"/>
        <v>827</v>
      </c>
      <c r="B213" s="15">
        <v>8</v>
      </c>
      <c r="C213" s="13" t="s">
        <v>438</v>
      </c>
      <c r="D213" s="13" t="s">
        <v>408</v>
      </c>
      <c r="E213" s="13" t="s">
        <v>1069</v>
      </c>
      <c r="F213" s="9" t="s">
        <v>1122</v>
      </c>
      <c r="G213" s="9" t="s">
        <v>409</v>
      </c>
      <c r="H213" s="29" t="str">
        <f t="shared" si="11"/>
        <v>22</v>
      </c>
    </row>
    <row r="214" spans="1:8" hidden="1" x14ac:dyDescent="0.35">
      <c r="A214" s="15">
        <v>901</v>
      </c>
      <c r="B214" s="15">
        <v>9</v>
      </c>
      <c r="C214" s="13" t="s">
        <v>493</v>
      </c>
      <c r="D214" s="13" t="s">
        <v>477</v>
      </c>
      <c r="E214" s="13" t="s">
        <v>1086</v>
      </c>
      <c r="F214" s="9" t="s">
        <v>60</v>
      </c>
      <c r="G214" s="9" t="s">
        <v>478</v>
      </c>
      <c r="H214" s="29" t="str">
        <f t="shared" si="11"/>
        <v>19</v>
      </c>
    </row>
    <row r="215" spans="1:8" hidden="1" x14ac:dyDescent="0.35">
      <c r="A215" s="15">
        <f>A214+1</f>
        <v>902</v>
      </c>
      <c r="B215" s="15">
        <v>9</v>
      </c>
      <c r="C215" s="13" t="s">
        <v>493</v>
      </c>
      <c r="D215" s="13" t="s">
        <v>457</v>
      </c>
      <c r="E215" s="13" t="s">
        <v>1075</v>
      </c>
      <c r="F215" s="9" t="s">
        <v>1118</v>
      </c>
      <c r="G215" s="9" t="s">
        <v>458</v>
      </c>
      <c r="H215" s="29" t="str">
        <f t="shared" si="11"/>
        <v>27</v>
      </c>
    </row>
    <row r="216" spans="1:8" hidden="1" x14ac:dyDescent="0.35">
      <c r="A216" s="15">
        <f t="shared" ref="A216:A240" si="12">A215+1</f>
        <v>903</v>
      </c>
      <c r="B216" s="15">
        <v>9</v>
      </c>
      <c r="C216" s="13" t="s">
        <v>493</v>
      </c>
      <c r="D216" s="13" t="s">
        <v>465</v>
      </c>
      <c r="E216" s="13" t="s">
        <v>1051</v>
      </c>
      <c r="F216" s="9" t="s">
        <v>1123</v>
      </c>
      <c r="G216" s="9" t="s">
        <v>466</v>
      </c>
      <c r="H216" s="29" t="str">
        <f t="shared" si="11"/>
        <v>22</v>
      </c>
    </row>
    <row r="217" spans="1:8" hidden="1" x14ac:dyDescent="0.35">
      <c r="A217" s="15">
        <f t="shared" si="12"/>
        <v>904</v>
      </c>
      <c r="B217" s="15">
        <v>9</v>
      </c>
      <c r="C217" s="13" t="s">
        <v>493</v>
      </c>
      <c r="D217" s="13" t="s">
        <v>471</v>
      </c>
      <c r="E217" s="13" t="s">
        <v>1068</v>
      </c>
      <c r="F217" s="9" t="s">
        <v>1118</v>
      </c>
      <c r="G217" s="9" t="s">
        <v>472</v>
      </c>
      <c r="H217" s="29" t="str">
        <f t="shared" si="11"/>
        <v>25</v>
      </c>
    </row>
    <row r="218" spans="1:8" hidden="1" x14ac:dyDescent="0.35">
      <c r="A218" s="15">
        <f t="shared" si="12"/>
        <v>905</v>
      </c>
      <c r="B218" s="15">
        <v>9</v>
      </c>
      <c r="C218" s="13" t="s">
        <v>493</v>
      </c>
      <c r="D218" s="13" t="s">
        <v>479</v>
      </c>
      <c r="E218" s="13" t="s">
        <v>1068</v>
      </c>
      <c r="F218" s="9" t="s">
        <v>60</v>
      </c>
      <c r="G218" s="9" t="s">
        <v>480</v>
      </c>
      <c r="H218" s="29" t="str">
        <f t="shared" si="11"/>
        <v>21</v>
      </c>
    </row>
    <row r="219" spans="1:8" hidden="1" x14ac:dyDescent="0.35">
      <c r="A219" s="15">
        <f t="shared" si="12"/>
        <v>906</v>
      </c>
      <c r="B219" s="15">
        <v>9</v>
      </c>
      <c r="C219" s="13" t="s">
        <v>493</v>
      </c>
      <c r="D219" s="13" t="s">
        <v>475</v>
      </c>
      <c r="E219" s="13" t="s">
        <v>1068</v>
      </c>
      <c r="F219" s="9" t="s">
        <v>1118</v>
      </c>
      <c r="G219" s="9" t="s">
        <v>476</v>
      </c>
      <c r="H219" s="29" t="str">
        <f t="shared" si="11"/>
        <v>18</v>
      </c>
    </row>
    <row r="220" spans="1:8" hidden="1" x14ac:dyDescent="0.35">
      <c r="A220" s="15">
        <f t="shared" si="12"/>
        <v>907</v>
      </c>
      <c r="B220" s="15">
        <v>9</v>
      </c>
      <c r="C220" s="13" t="s">
        <v>493</v>
      </c>
      <c r="D220" s="13" t="s">
        <v>491</v>
      </c>
      <c r="E220" s="13" t="s">
        <v>1068</v>
      </c>
      <c r="F220" s="9" t="s">
        <v>1117</v>
      </c>
      <c r="G220" s="9" t="s">
        <v>492</v>
      </c>
      <c r="H220" s="29" t="str">
        <f t="shared" si="11"/>
        <v>23</v>
      </c>
    </row>
    <row r="221" spans="1:8" hidden="1" x14ac:dyDescent="0.35">
      <c r="A221" s="15">
        <f t="shared" si="12"/>
        <v>908</v>
      </c>
      <c r="B221" s="15">
        <v>9</v>
      </c>
      <c r="C221" s="13" t="s">
        <v>493</v>
      </c>
      <c r="D221" s="13" t="s">
        <v>447</v>
      </c>
      <c r="E221" s="13" t="s">
        <v>1103</v>
      </c>
      <c r="F221" s="9" t="s">
        <v>1122</v>
      </c>
      <c r="G221" s="9" t="s">
        <v>448</v>
      </c>
      <c r="H221" s="29" t="str">
        <f t="shared" si="11"/>
        <v>36</v>
      </c>
    </row>
    <row r="222" spans="1:8" hidden="1" x14ac:dyDescent="0.35">
      <c r="A222" s="15">
        <f t="shared" si="12"/>
        <v>909</v>
      </c>
      <c r="B222" s="15">
        <v>9</v>
      </c>
      <c r="C222" s="13" t="s">
        <v>493</v>
      </c>
      <c r="D222" s="13" t="s">
        <v>451</v>
      </c>
      <c r="E222" s="13" t="s">
        <v>1103</v>
      </c>
      <c r="F222" s="9" t="s">
        <v>1118</v>
      </c>
      <c r="G222" s="9" t="s">
        <v>452</v>
      </c>
      <c r="H222" s="29" t="str">
        <f t="shared" si="11"/>
        <v>25</v>
      </c>
    </row>
    <row r="223" spans="1:8" hidden="1" x14ac:dyDescent="0.35">
      <c r="A223" s="15">
        <f t="shared" si="12"/>
        <v>910</v>
      </c>
      <c r="B223" s="15">
        <v>9</v>
      </c>
      <c r="C223" s="13" t="s">
        <v>493</v>
      </c>
      <c r="D223" s="13" t="s">
        <v>453</v>
      </c>
      <c r="E223" s="13" t="s">
        <v>1068</v>
      </c>
      <c r="F223" s="9" t="s">
        <v>1118</v>
      </c>
      <c r="G223" s="9" t="s">
        <v>454</v>
      </c>
      <c r="H223" s="29" t="str">
        <f t="shared" si="11"/>
        <v>30</v>
      </c>
    </row>
    <row r="224" spans="1:8" hidden="1" x14ac:dyDescent="0.35">
      <c r="A224" s="15">
        <f t="shared" si="12"/>
        <v>911</v>
      </c>
      <c r="B224" s="15">
        <v>9</v>
      </c>
      <c r="C224" s="13" t="s">
        <v>493</v>
      </c>
      <c r="D224" s="13" t="s">
        <v>441</v>
      </c>
      <c r="E224" s="13" t="s">
        <v>1079</v>
      </c>
      <c r="F224" s="9" t="s">
        <v>60</v>
      </c>
      <c r="G224" s="9" t="s">
        <v>442</v>
      </c>
      <c r="H224" s="29" t="str">
        <f t="shared" si="11"/>
        <v>24</v>
      </c>
    </row>
    <row r="225" spans="1:8" hidden="1" x14ac:dyDescent="0.35">
      <c r="A225" s="15">
        <f t="shared" si="12"/>
        <v>912</v>
      </c>
      <c r="B225" s="15">
        <v>9</v>
      </c>
      <c r="C225" s="13" t="s">
        <v>493</v>
      </c>
      <c r="D225" s="13" t="s">
        <v>439</v>
      </c>
      <c r="E225" s="13" t="s">
        <v>1068</v>
      </c>
      <c r="F225" s="9" t="s">
        <v>1125</v>
      </c>
      <c r="G225" s="9" t="s">
        <v>440</v>
      </c>
      <c r="H225" s="29" t="str">
        <f t="shared" si="11"/>
        <v>24</v>
      </c>
    </row>
    <row r="226" spans="1:8" hidden="1" x14ac:dyDescent="0.35">
      <c r="A226" s="15">
        <f t="shared" si="12"/>
        <v>913</v>
      </c>
      <c r="B226" s="15">
        <v>9</v>
      </c>
      <c r="C226" s="13" t="s">
        <v>493</v>
      </c>
      <c r="D226" s="13" t="s">
        <v>445</v>
      </c>
      <c r="E226" s="13" t="s">
        <v>1068</v>
      </c>
      <c r="F226" s="9" t="s">
        <v>60</v>
      </c>
      <c r="G226" s="9" t="s">
        <v>446</v>
      </c>
      <c r="H226" s="29" t="str">
        <f t="shared" si="11"/>
        <v>32</v>
      </c>
    </row>
    <row r="227" spans="1:8" hidden="1" x14ac:dyDescent="0.35">
      <c r="A227" s="15">
        <f t="shared" si="12"/>
        <v>914</v>
      </c>
      <c r="B227" s="15">
        <v>9</v>
      </c>
      <c r="C227" s="13" t="s">
        <v>493</v>
      </c>
      <c r="D227" s="13" t="s">
        <v>443</v>
      </c>
      <c r="E227" s="13" t="s">
        <v>1068</v>
      </c>
      <c r="F227" s="9" t="s">
        <v>1117</v>
      </c>
      <c r="G227" s="9" t="s">
        <v>444</v>
      </c>
      <c r="H227" s="29" t="str">
        <f t="shared" si="11"/>
        <v>31</v>
      </c>
    </row>
    <row r="228" spans="1:8" hidden="1" x14ac:dyDescent="0.35">
      <c r="A228" s="15">
        <f t="shared" si="12"/>
        <v>915</v>
      </c>
      <c r="B228" s="15">
        <v>9</v>
      </c>
      <c r="C228" s="13" t="s">
        <v>493</v>
      </c>
      <c r="D228" s="13" t="s">
        <v>455</v>
      </c>
      <c r="E228" s="13" t="s">
        <v>1068</v>
      </c>
      <c r="F228" s="9" t="s">
        <v>1122</v>
      </c>
      <c r="G228" s="9" t="s">
        <v>456</v>
      </c>
      <c r="H228" s="29" t="str">
        <f t="shared" si="11"/>
        <v>27</v>
      </c>
    </row>
    <row r="229" spans="1:8" hidden="1" x14ac:dyDescent="0.35">
      <c r="A229" s="15">
        <f t="shared" si="12"/>
        <v>916</v>
      </c>
      <c r="B229" s="15">
        <v>9</v>
      </c>
      <c r="C229" s="13" t="s">
        <v>493</v>
      </c>
      <c r="D229" s="13" t="s">
        <v>489</v>
      </c>
      <c r="E229" s="13" t="s">
        <v>1079</v>
      </c>
      <c r="F229" s="9" t="s">
        <v>1117</v>
      </c>
      <c r="G229" s="9" t="s">
        <v>490</v>
      </c>
      <c r="H229" s="29" t="str">
        <f t="shared" si="11"/>
        <v>26</v>
      </c>
    </row>
    <row r="230" spans="1:8" hidden="1" x14ac:dyDescent="0.35">
      <c r="A230" s="15">
        <f t="shared" si="12"/>
        <v>917</v>
      </c>
      <c r="B230" s="15">
        <v>9</v>
      </c>
      <c r="C230" s="13" t="s">
        <v>493</v>
      </c>
      <c r="D230" s="13" t="s">
        <v>469</v>
      </c>
      <c r="E230" s="13" t="s">
        <v>1063</v>
      </c>
      <c r="F230" s="9" t="s">
        <v>1122</v>
      </c>
      <c r="G230" s="9" t="s">
        <v>470</v>
      </c>
      <c r="H230" s="29" t="str">
        <f t="shared" si="11"/>
        <v>23</v>
      </c>
    </row>
    <row r="231" spans="1:8" hidden="1" x14ac:dyDescent="0.35">
      <c r="A231" s="15">
        <f t="shared" si="12"/>
        <v>918</v>
      </c>
      <c r="B231" s="15">
        <v>9</v>
      </c>
      <c r="C231" s="13" t="s">
        <v>493</v>
      </c>
      <c r="D231" s="13" t="s">
        <v>449</v>
      </c>
      <c r="E231" s="13" t="s">
        <v>1068</v>
      </c>
      <c r="F231" s="9" t="s">
        <v>60</v>
      </c>
      <c r="G231" s="9" t="s">
        <v>450</v>
      </c>
      <c r="H231" s="29" t="str">
        <f t="shared" si="11"/>
        <v>32</v>
      </c>
    </row>
    <row r="232" spans="1:8" hidden="1" x14ac:dyDescent="0.35">
      <c r="A232" s="15">
        <f t="shared" si="12"/>
        <v>919</v>
      </c>
      <c r="B232" s="15">
        <v>9</v>
      </c>
      <c r="C232" s="13" t="s">
        <v>493</v>
      </c>
      <c r="D232" s="13" t="s">
        <v>487</v>
      </c>
      <c r="E232" s="13" t="s">
        <v>1099</v>
      </c>
      <c r="F232" s="9" t="s">
        <v>60</v>
      </c>
      <c r="G232" s="9" t="s">
        <v>488</v>
      </c>
      <c r="H232" s="29" t="str">
        <f t="shared" si="11"/>
        <v>23</v>
      </c>
    </row>
    <row r="233" spans="1:8" hidden="1" x14ac:dyDescent="0.35">
      <c r="A233" s="15">
        <f t="shared" si="12"/>
        <v>920</v>
      </c>
      <c r="B233" s="15">
        <v>9</v>
      </c>
      <c r="C233" s="13" t="s">
        <v>493</v>
      </c>
      <c r="D233" s="13" t="s">
        <v>473</v>
      </c>
      <c r="E233" s="13" t="s">
        <v>1079</v>
      </c>
      <c r="F233" s="9" t="s">
        <v>1118</v>
      </c>
      <c r="G233" s="9" t="s">
        <v>474</v>
      </c>
      <c r="H233" s="29" t="str">
        <f t="shared" si="11"/>
        <v>36</v>
      </c>
    </row>
    <row r="234" spans="1:8" hidden="1" x14ac:dyDescent="0.35">
      <c r="A234" s="15">
        <f t="shared" si="12"/>
        <v>921</v>
      </c>
      <c r="B234" s="15">
        <v>9</v>
      </c>
      <c r="C234" s="13" t="s">
        <v>493</v>
      </c>
      <c r="D234" s="13" t="s">
        <v>463</v>
      </c>
      <c r="E234" s="13" t="s">
        <v>1070</v>
      </c>
      <c r="F234" s="9" t="s">
        <v>1118</v>
      </c>
      <c r="G234" s="9" t="s">
        <v>464</v>
      </c>
      <c r="H234" s="29" t="str">
        <f t="shared" si="11"/>
        <v>22</v>
      </c>
    </row>
    <row r="235" spans="1:8" hidden="1" x14ac:dyDescent="0.35">
      <c r="A235" s="15">
        <f t="shared" si="12"/>
        <v>922</v>
      </c>
      <c r="B235" s="15">
        <v>9</v>
      </c>
      <c r="C235" s="13" t="s">
        <v>493</v>
      </c>
      <c r="D235" s="13" t="s">
        <v>461</v>
      </c>
      <c r="E235" s="13" t="s">
        <v>1068</v>
      </c>
      <c r="F235" s="9" t="s">
        <v>1122</v>
      </c>
      <c r="G235" s="9" t="s">
        <v>462</v>
      </c>
      <c r="H235" s="29" t="str">
        <f t="shared" si="11"/>
        <v>22</v>
      </c>
    </row>
    <row r="236" spans="1:8" hidden="1" x14ac:dyDescent="0.35">
      <c r="A236" s="15">
        <f t="shared" si="12"/>
        <v>923</v>
      </c>
      <c r="B236" s="15">
        <v>9</v>
      </c>
      <c r="C236" s="13" t="s">
        <v>493</v>
      </c>
      <c r="D236" s="13" t="s">
        <v>483</v>
      </c>
      <c r="E236" s="13" t="s">
        <v>1111</v>
      </c>
      <c r="F236" s="9" t="s">
        <v>1117</v>
      </c>
      <c r="G236" s="9" t="s">
        <v>484</v>
      </c>
      <c r="H236" s="29" t="str">
        <f t="shared" si="11"/>
        <v>30</v>
      </c>
    </row>
    <row r="237" spans="1:8" hidden="1" x14ac:dyDescent="0.35">
      <c r="A237" s="15">
        <f t="shared" si="12"/>
        <v>924</v>
      </c>
      <c r="B237" s="15">
        <v>9</v>
      </c>
      <c r="C237" s="13" t="s">
        <v>493</v>
      </c>
      <c r="D237" s="13" t="s">
        <v>467</v>
      </c>
      <c r="E237" s="13" t="s">
        <v>1068</v>
      </c>
      <c r="F237" s="9" t="s">
        <v>1118</v>
      </c>
      <c r="G237" s="9" t="s">
        <v>468</v>
      </c>
      <c r="H237" s="29" t="str">
        <f t="shared" si="11"/>
        <v>19</v>
      </c>
    </row>
    <row r="238" spans="1:8" hidden="1" x14ac:dyDescent="0.35">
      <c r="A238" s="15">
        <f t="shared" si="12"/>
        <v>925</v>
      </c>
      <c r="B238" s="15">
        <v>9</v>
      </c>
      <c r="C238" s="13" t="s">
        <v>493</v>
      </c>
      <c r="D238" s="13" t="s">
        <v>485</v>
      </c>
      <c r="E238" s="13" t="s">
        <v>1068</v>
      </c>
      <c r="F238" s="9" t="s">
        <v>1122</v>
      </c>
      <c r="G238" s="9" t="s">
        <v>486</v>
      </c>
      <c r="H238" s="29" t="str">
        <f t="shared" si="11"/>
        <v>22</v>
      </c>
    </row>
    <row r="239" spans="1:8" hidden="1" x14ac:dyDescent="0.35">
      <c r="A239" s="15">
        <f t="shared" si="12"/>
        <v>926</v>
      </c>
      <c r="B239" s="15">
        <v>9</v>
      </c>
      <c r="C239" s="13" t="s">
        <v>493</v>
      </c>
      <c r="D239" s="13" t="s">
        <v>459</v>
      </c>
      <c r="E239" s="13" t="s">
        <v>1107</v>
      </c>
      <c r="F239" s="9" t="s">
        <v>60</v>
      </c>
      <c r="G239" s="9" t="s">
        <v>460</v>
      </c>
      <c r="H239" s="29" t="str">
        <f t="shared" si="11"/>
        <v>26</v>
      </c>
    </row>
    <row r="240" spans="1:8" hidden="1" x14ac:dyDescent="0.35">
      <c r="A240" s="15">
        <f t="shared" si="12"/>
        <v>927</v>
      </c>
      <c r="B240" s="15">
        <v>9</v>
      </c>
      <c r="C240" s="13" t="s">
        <v>493</v>
      </c>
      <c r="D240" s="13" t="s">
        <v>481</v>
      </c>
      <c r="E240" s="13" t="s">
        <v>1096</v>
      </c>
      <c r="F240" s="9" t="s">
        <v>1118</v>
      </c>
      <c r="G240" s="9" t="s">
        <v>482</v>
      </c>
      <c r="H240" s="29" t="str">
        <f t="shared" si="11"/>
        <v>21</v>
      </c>
    </row>
    <row r="241" spans="1:8" hidden="1" x14ac:dyDescent="0.35">
      <c r="A241" s="15">
        <v>1001</v>
      </c>
      <c r="B241" s="15">
        <v>10</v>
      </c>
      <c r="C241" s="13" t="s">
        <v>543</v>
      </c>
      <c r="D241" s="13" t="s">
        <v>524</v>
      </c>
      <c r="E241" s="13" t="s">
        <v>1069</v>
      </c>
      <c r="F241" s="9" t="s">
        <v>1118</v>
      </c>
      <c r="G241" s="9" t="s">
        <v>525</v>
      </c>
      <c r="H241" s="29" t="str">
        <f t="shared" si="11"/>
        <v>29</v>
      </c>
    </row>
    <row r="242" spans="1:8" hidden="1" x14ac:dyDescent="0.35">
      <c r="A242" s="15">
        <f>A241+1</f>
        <v>1002</v>
      </c>
      <c r="B242" s="15">
        <v>10</v>
      </c>
      <c r="C242" s="13" t="s">
        <v>543</v>
      </c>
      <c r="D242" s="13" t="s">
        <v>504</v>
      </c>
      <c r="E242" s="13" t="s">
        <v>1089</v>
      </c>
      <c r="F242" s="9" t="s">
        <v>1124</v>
      </c>
      <c r="G242" s="9" t="s">
        <v>505</v>
      </c>
      <c r="H242" s="29" t="str">
        <f t="shared" si="11"/>
        <v>29</v>
      </c>
    </row>
    <row r="243" spans="1:8" hidden="1" x14ac:dyDescent="0.35">
      <c r="A243" s="15">
        <f t="shared" ref="A243:A265" si="13">A242+1</f>
        <v>1003</v>
      </c>
      <c r="B243" s="15">
        <v>10</v>
      </c>
      <c r="C243" s="13" t="s">
        <v>543</v>
      </c>
      <c r="D243" s="13" t="s">
        <v>540</v>
      </c>
      <c r="E243" s="13" t="s">
        <v>1056</v>
      </c>
      <c r="F243" s="9" t="s">
        <v>1122</v>
      </c>
      <c r="G243" s="9" t="s">
        <v>75</v>
      </c>
      <c r="H243" s="29" t="str">
        <f t="shared" si="11"/>
        <v>29</v>
      </c>
    </row>
    <row r="244" spans="1:8" hidden="1" x14ac:dyDescent="0.35">
      <c r="A244" s="15">
        <f t="shared" si="13"/>
        <v>1004</v>
      </c>
      <c r="B244" s="15">
        <v>10</v>
      </c>
      <c r="C244" s="13" t="s">
        <v>543</v>
      </c>
      <c r="D244" s="13" t="s">
        <v>532</v>
      </c>
      <c r="E244" s="13" t="s">
        <v>1108</v>
      </c>
      <c r="F244" s="9" t="s">
        <v>60</v>
      </c>
      <c r="G244" s="9" t="s">
        <v>533</v>
      </c>
      <c r="H244" s="29" t="str">
        <f t="shared" si="11"/>
        <v>28</v>
      </c>
    </row>
    <row r="245" spans="1:8" hidden="1" x14ac:dyDescent="0.35">
      <c r="A245" s="15">
        <f t="shared" si="13"/>
        <v>1005</v>
      </c>
      <c r="B245" s="15">
        <v>10</v>
      </c>
      <c r="C245" s="13" t="s">
        <v>543</v>
      </c>
      <c r="D245" s="13" t="s">
        <v>538</v>
      </c>
      <c r="E245" s="13" t="s">
        <v>1070</v>
      </c>
      <c r="F245" s="9" t="s">
        <v>1117</v>
      </c>
      <c r="G245" s="9" t="s">
        <v>539</v>
      </c>
      <c r="H245" s="29" t="str">
        <f t="shared" si="11"/>
        <v>34</v>
      </c>
    </row>
    <row r="246" spans="1:8" hidden="1" x14ac:dyDescent="0.35">
      <c r="A246" s="15">
        <f t="shared" si="13"/>
        <v>1006</v>
      </c>
      <c r="B246" s="15">
        <v>10</v>
      </c>
      <c r="C246" s="13" t="s">
        <v>543</v>
      </c>
      <c r="D246" s="13" t="s">
        <v>498</v>
      </c>
      <c r="E246" s="13" t="s">
        <v>1063</v>
      </c>
      <c r="F246" s="9" t="s">
        <v>1117</v>
      </c>
      <c r="G246" s="9" t="s">
        <v>499</v>
      </c>
      <c r="H246" s="29" t="str">
        <f t="shared" si="11"/>
        <v>33</v>
      </c>
    </row>
    <row r="247" spans="1:8" hidden="1" x14ac:dyDescent="0.35">
      <c r="A247" s="15">
        <f t="shared" si="13"/>
        <v>1007</v>
      </c>
      <c r="B247" s="15">
        <v>10</v>
      </c>
      <c r="C247" s="13" t="s">
        <v>543</v>
      </c>
      <c r="D247" s="13" t="s">
        <v>496</v>
      </c>
      <c r="E247" s="13" t="s">
        <v>1089</v>
      </c>
      <c r="F247" s="9" t="s">
        <v>60</v>
      </c>
      <c r="G247" s="9" t="s">
        <v>497</v>
      </c>
      <c r="H247" s="29" t="str">
        <f t="shared" si="11"/>
        <v>25</v>
      </c>
    </row>
    <row r="248" spans="1:8" hidden="1" x14ac:dyDescent="0.35">
      <c r="A248" s="15">
        <f t="shared" si="13"/>
        <v>1008</v>
      </c>
      <c r="B248" s="15">
        <v>10</v>
      </c>
      <c r="C248" s="13" t="s">
        <v>543</v>
      </c>
      <c r="D248" s="13" t="s">
        <v>526</v>
      </c>
      <c r="E248" s="13" t="s">
        <v>1068</v>
      </c>
      <c r="F248" s="9" t="s">
        <v>1122</v>
      </c>
      <c r="G248" s="9" t="s">
        <v>527</v>
      </c>
      <c r="H248" s="29" t="str">
        <f t="shared" si="11"/>
        <v>25</v>
      </c>
    </row>
    <row r="249" spans="1:8" hidden="1" x14ac:dyDescent="0.35">
      <c r="A249" s="15">
        <f t="shared" si="13"/>
        <v>1009</v>
      </c>
      <c r="B249" s="15">
        <v>10</v>
      </c>
      <c r="C249" s="13" t="s">
        <v>543</v>
      </c>
      <c r="D249" s="13" t="s">
        <v>541</v>
      </c>
      <c r="E249" s="13" t="s">
        <v>1068</v>
      </c>
      <c r="F249" s="9" t="s">
        <v>1122</v>
      </c>
      <c r="G249" s="9" t="s">
        <v>542</v>
      </c>
      <c r="H249" s="29" t="str">
        <f t="shared" si="11"/>
        <v>30</v>
      </c>
    </row>
    <row r="250" spans="1:8" hidden="1" x14ac:dyDescent="0.35">
      <c r="A250" s="15">
        <f t="shared" si="13"/>
        <v>1010</v>
      </c>
      <c r="B250" s="15">
        <v>10</v>
      </c>
      <c r="C250" s="13" t="s">
        <v>543</v>
      </c>
      <c r="D250" s="13" t="s">
        <v>512</v>
      </c>
      <c r="E250" s="13" t="s">
        <v>1111</v>
      </c>
      <c r="F250" s="9" t="s">
        <v>1124</v>
      </c>
      <c r="G250" s="9" t="s">
        <v>513</v>
      </c>
      <c r="H250" s="29" t="str">
        <f t="shared" si="11"/>
        <v>28</v>
      </c>
    </row>
    <row r="251" spans="1:8" hidden="1" x14ac:dyDescent="0.35">
      <c r="A251" s="15">
        <f t="shared" si="13"/>
        <v>1011</v>
      </c>
      <c r="B251" s="15">
        <v>10</v>
      </c>
      <c r="C251" s="13" t="s">
        <v>543</v>
      </c>
      <c r="D251" s="13" t="s">
        <v>522</v>
      </c>
      <c r="E251" s="13" t="s">
        <v>1070</v>
      </c>
      <c r="F251" s="9" t="s">
        <v>60</v>
      </c>
      <c r="G251" s="9" t="s">
        <v>523</v>
      </c>
      <c r="H251" s="29" t="str">
        <f t="shared" si="11"/>
        <v>28</v>
      </c>
    </row>
    <row r="252" spans="1:8" hidden="1" x14ac:dyDescent="0.35">
      <c r="A252" s="15">
        <f t="shared" si="13"/>
        <v>1012</v>
      </c>
      <c r="B252" s="15">
        <v>10</v>
      </c>
      <c r="C252" s="13" t="s">
        <v>543</v>
      </c>
      <c r="D252" s="13" t="s">
        <v>494</v>
      </c>
      <c r="E252" s="13" t="s">
        <v>1064</v>
      </c>
      <c r="F252" s="9" t="s">
        <v>60</v>
      </c>
      <c r="G252" s="9" t="s">
        <v>495</v>
      </c>
      <c r="H252" s="29" t="str">
        <f t="shared" si="11"/>
        <v>29</v>
      </c>
    </row>
    <row r="253" spans="1:8" hidden="1" x14ac:dyDescent="0.35">
      <c r="A253" s="15">
        <f t="shared" si="13"/>
        <v>1013</v>
      </c>
      <c r="B253" s="15">
        <v>10</v>
      </c>
      <c r="C253" s="13" t="s">
        <v>543</v>
      </c>
      <c r="D253" s="13" t="s">
        <v>536</v>
      </c>
      <c r="E253" s="13" t="s">
        <v>1100</v>
      </c>
      <c r="F253" s="9" t="s">
        <v>1118</v>
      </c>
      <c r="G253" s="9" t="s">
        <v>537</v>
      </c>
      <c r="H253" s="29" t="str">
        <f t="shared" si="11"/>
        <v>18</v>
      </c>
    </row>
    <row r="254" spans="1:8" hidden="1" x14ac:dyDescent="0.35">
      <c r="A254" s="15">
        <f t="shared" si="13"/>
        <v>1014</v>
      </c>
      <c r="B254" s="15">
        <v>10</v>
      </c>
      <c r="C254" s="13" t="s">
        <v>543</v>
      </c>
      <c r="D254" s="13" t="s">
        <v>520</v>
      </c>
      <c r="E254" s="13" t="s">
        <v>1069</v>
      </c>
      <c r="F254" s="9" t="s">
        <v>60</v>
      </c>
      <c r="G254" s="9" t="s">
        <v>521</v>
      </c>
      <c r="H254" s="29" t="str">
        <f t="shared" si="11"/>
        <v>25</v>
      </c>
    </row>
    <row r="255" spans="1:8" hidden="1" x14ac:dyDescent="0.35">
      <c r="A255" s="15">
        <f t="shared" si="13"/>
        <v>1015</v>
      </c>
      <c r="B255" s="15">
        <v>10</v>
      </c>
      <c r="C255" s="13" t="s">
        <v>543</v>
      </c>
      <c r="D255" s="13" t="s">
        <v>506</v>
      </c>
      <c r="E255" s="13" t="s">
        <v>1068</v>
      </c>
      <c r="F255" s="9" t="s">
        <v>1123</v>
      </c>
      <c r="G255" s="9" t="s">
        <v>507</v>
      </c>
      <c r="H255" s="29" t="str">
        <f t="shared" si="11"/>
        <v>18</v>
      </c>
    </row>
    <row r="256" spans="1:8" hidden="1" x14ac:dyDescent="0.35">
      <c r="A256" s="15">
        <f t="shared" si="13"/>
        <v>1016</v>
      </c>
      <c r="B256" s="15">
        <v>10</v>
      </c>
      <c r="C256" s="13" t="s">
        <v>543</v>
      </c>
      <c r="D256" s="13" t="s">
        <v>510</v>
      </c>
      <c r="E256" s="13" t="s">
        <v>1091</v>
      </c>
      <c r="F256" s="9" t="s">
        <v>60</v>
      </c>
      <c r="G256" s="9" t="s">
        <v>511</v>
      </c>
      <c r="H256" s="29" t="str">
        <f t="shared" si="11"/>
        <v>30</v>
      </c>
    </row>
    <row r="257" spans="1:8" hidden="1" x14ac:dyDescent="0.35">
      <c r="A257" s="15">
        <f t="shared" si="13"/>
        <v>1017</v>
      </c>
      <c r="B257" s="15">
        <v>10</v>
      </c>
      <c r="C257" s="13" t="s">
        <v>543</v>
      </c>
      <c r="D257" s="13" t="s">
        <v>530</v>
      </c>
      <c r="E257" s="13" t="s">
        <v>1056</v>
      </c>
      <c r="F257" s="9" t="s">
        <v>1124</v>
      </c>
      <c r="G257" s="9" t="s">
        <v>531</v>
      </c>
      <c r="H257" s="29" t="str">
        <f t="shared" si="11"/>
        <v>22</v>
      </c>
    </row>
    <row r="258" spans="1:8" hidden="1" x14ac:dyDescent="0.35">
      <c r="A258" s="15">
        <f t="shared" si="13"/>
        <v>1018</v>
      </c>
      <c r="B258" s="15">
        <v>10</v>
      </c>
      <c r="C258" s="13" t="s">
        <v>543</v>
      </c>
      <c r="D258" s="13" t="s">
        <v>518</v>
      </c>
      <c r="E258" s="13" t="s">
        <v>1087</v>
      </c>
      <c r="F258" s="9" t="s">
        <v>1118</v>
      </c>
      <c r="G258" s="9" t="s">
        <v>519</v>
      </c>
      <c r="H258" s="29" t="str">
        <f t="shared" ref="H258:H321" si="14">LEFT(G258,2)</f>
        <v>34</v>
      </c>
    </row>
    <row r="259" spans="1:8" hidden="1" x14ac:dyDescent="0.35">
      <c r="A259" s="15">
        <f t="shared" si="13"/>
        <v>1019</v>
      </c>
      <c r="B259" s="15">
        <v>10</v>
      </c>
      <c r="C259" s="13" t="s">
        <v>543</v>
      </c>
      <c r="D259" s="13" t="s">
        <v>514</v>
      </c>
      <c r="E259" s="13" t="s">
        <v>1056</v>
      </c>
      <c r="F259" s="9" t="s">
        <v>1118</v>
      </c>
      <c r="G259" s="9" t="s">
        <v>515</v>
      </c>
      <c r="H259" s="29" t="str">
        <f t="shared" si="14"/>
        <v>24</v>
      </c>
    </row>
    <row r="260" spans="1:8" hidden="1" x14ac:dyDescent="0.35">
      <c r="A260" s="15">
        <f t="shared" si="13"/>
        <v>1020</v>
      </c>
      <c r="B260" s="15">
        <v>10</v>
      </c>
      <c r="C260" s="13" t="s">
        <v>543</v>
      </c>
      <c r="D260" s="13" t="s">
        <v>508</v>
      </c>
      <c r="E260" s="13" t="s">
        <v>1068</v>
      </c>
      <c r="F260" s="9" t="s">
        <v>60</v>
      </c>
      <c r="G260" s="9" t="s">
        <v>509</v>
      </c>
      <c r="H260" s="29" t="str">
        <f t="shared" si="14"/>
        <v>25</v>
      </c>
    </row>
    <row r="261" spans="1:8" hidden="1" x14ac:dyDescent="0.35">
      <c r="A261" s="15">
        <f t="shared" si="13"/>
        <v>1021</v>
      </c>
      <c r="B261" s="15">
        <v>10</v>
      </c>
      <c r="C261" s="13" t="s">
        <v>543</v>
      </c>
      <c r="D261" s="13" t="s">
        <v>534</v>
      </c>
      <c r="E261" s="13" t="s">
        <v>1089</v>
      </c>
      <c r="F261" s="9" t="s">
        <v>1124</v>
      </c>
      <c r="G261" s="9" t="s">
        <v>535</v>
      </c>
      <c r="H261" s="29" t="str">
        <f t="shared" si="14"/>
        <v>26</v>
      </c>
    </row>
    <row r="262" spans="1:8" hidden="1" x14ac:dyDescent="0.35">
      <c r="A262" s="15">
        <f t="shared" si="13"/>
        <v>1022</v>
      </c>
      <c r="B262" s="15">
        <v>10</v>
      </c>
      <c r="C262" s="13" t="s">
        <v>543</v>
      </c>
      <c r="D262" s="13" t="s">
        <v>500</v>
      </c>
      <c r="E262" s="13" t="s">
        <v>1092</v>
      </c>
      <c r="F262" s="9" t="s">
        <v>1122</v>
      </c>
      <c r="G262" s="9" t="s">
        <v>501</v>
      </c>
      <c r="H262" s="29" t="str">
        <f t="shared" si="14"/>
        <v>27</v>
      </c>
    </row>
    <row r="263" spans="1:8" hidden="1" x14ac:dyDescent="0.35">
      <c r="A263" s="15">
        <f t="shared" si="13"/>
        <v>1023</v>
      </c>
      <c r="B263" s="15">
        <v>10</v>
      </c>
      <c r="C263" s="13" t="s">
        <v>543</v>
      </c>
      <c r="D263" s="13" t="s">
        <v>502</v>
      </c>
      <c r="E263" s="13" t="s">
        <v>1098</v>
      </c>
      <c r="F263" s="9" t="s">
        <v>1122</v>
      </c>
      <c r="G263" s="9" t="s">
        <v>503</v>
      </c>
      <c r="H263" s="29" t="str">
        <f t="shared" si="14"/>
        <v>29</v>
      </c>
    </row>
    <row r="264" spans="1:8" hidden="1" x14ac:dyDescent="0.35">
      <c r="A264" s="15">
        <f t="shared" si="13"/>
        <v>1024</v>
      </c>
      <c r="B264" s="15">
        <v>10</v>
      </c>
      <c r="C264" s="13" t="s">
        <v>543</v>
      </c>
      <c r="D264" s="13" t="s">
        <v>516</v>
      </c>
      <c r="E264" s="13" t="s">
        <v>1053</v>
      </c>
      <c r="F264" s="9" t="s">
        <v>1119</v>
      </c>
      <c r="G264" s="9" t="s">
        <v>517</v>
      </c>
      <c r="H264" s="29" t="str">
        <f t="shared" si="14"/>
        <v>29</v>
      </c>
    </row>
    <row r="265" spans="1:8" hidden="1" x14ac:dyDescent="0.35">
      <c r="A265" s="15">
        <f t="shared" si="13"/>
        <v>1025</v>
      </c>
      <c r="B265" s="15">
        <v>10</v>
      </c>
      <c r="C265" s="13" t="s">
        <v>543</v>
      </c>
      <c r="D265" s="13" t="s">
        <v>528</v>
      </c>
      <c r="E265" s="13" t="s">
        <v>1099</v>
      </c>
      <c r="F265" s="9" t="s">
        <v>1122</v>
      </c>
      <c r="G265" s="9" t="s">
        <v>529</v>
      </c>
      <c r="H265" s="29" t="str">
        <f t="shared" si="14"/>
        <v>34</v>
      </c>
    </row>
    <row r="266" spans="1:8" hidden="1" x14ac:dyDescent="0.35">
      <c r="A266" s="15">
        <v>1101</v>
      </c>
      <c r="B266" s="15">
        <v>11</v>
      </c>
      <c r="C266" s="13" t="s">
        <v>595</v>
      </c>
      <c r="D266" s="13" t="s">
        <v>552</v>
      </c>
      <c r="E266" s="13" t="s">
        <v>1063</v>
      </c>
      <c r="F266" s="9" t="s">
        <v>1122</v>
      </c>
      <c r="G266" s="9" t="s">
        <v>553</v>
      </c>
      <c r="H266" s="29" t="str">
        <f t="shared" si="14"/>
        <v>26</v>
      </c>
    </row>
    <row r="267" spans="1:8" hidden="1" x14ac:dyDescent="0.35">
      <c r="A267" s="15">
        <f>A266+1</f>
        <v>1102</v>
      </c>
      <c r="B267" s="15">
        <v>11</v>
      </c>
      <c r="C267" s="13" t="s">
        <v>595</v>
      </c>
      <c r="D267" s="13" t="s">
        <v>574</v>
      </c>
      <c r="E267" s="13" t="s">
        <v>1084</v>
      </c>
      <c r="F267" s="9" t="s">
        <v>1122</v>
      </c>
      <c r="G267" s="9" t="s">
        <v>575</v>
      </c>
      <c r="H267" s="29" t="str">
        <f t="shared" si="14"/>
        <v>27</v>
      </c>
    </row>
    <row r="268" spans="1:8" hidden="1" x14ac:dyDescent="0.35">
      <c r="A268" s="15">
        <f t="shared" ref="A268:A291" si="15">A267+1</f>
        <v>1103</v>
      </c>
      <c r="B268" s="15">
        <v>11</v>
      </c>
      <c r="C268" s="13" t="s">
        <v>595</v>
      </c>
      <c r="D268" s="13" t="s">
        <v>558</v>
      </c>
      <c r="E268" s="13" t="s">
        <v>1108</v>
      </c>
      <c r="F268" s="9" t="s">
        <v>1118</v>
      </c>
      <c r="G268" s="9" t="s">
        <v>559</v>
      </c>
      <c r="H268" s="29" t="str">
        <f t="shared" si="14"/>
        <v>24</v>
      </c>
    </row>
    <row r="269" spans="1:8" hidden="1" x14ac:dyDescent="0.35">
      <c r="A269" s="15">
        <f t="shared" si="15"/>
        <v>1104</v>
      </c>
      <c r="B269" s="15">
        <v>11</v>
      </c>
      <c r="C269" s="13" t="s">
        <v>595</v>
      </c>
      <c r="D269" s="13" t="s">
        <v>568</v>
      </c>
      <c r="E269" s="13" t="s">
        <v>1111</v>
      </c>
      <c r="F269" s="9" t="s">
        <v>1118</v>
      </c>
      <c r="G269" s="9" t="s">
        <v>569</v>
      </c>
      <c r="H269" s="29" t="str">
        <f t="shared" si="14"/>
        <v>27</v>
      </c>
    </row>
    <row r="270" spans="1:8" hidden="1" x14ac:dyDescent="0.35">
      <c r="A270" s="15">
        <f t="shared" si="15"/>
        <v>1105</v>
      </c>
      <c r="B270" s="15">
        <v>11</v>
      </c>
      <c r="C270" s="13" t="s">
        <v>595</v>
      </c>
      <c r="D270" s="13" t="s">
        <v>562</v>
      </c>
      <c r="E270" s="13" t="s">
        <v>1068</v>
      </c>
      <c r="F270" s="9" t="s">
        <v>1118</v>
      </c>
      <c r="G270" s="9" t="s">
        <v>563</v>
      </c>
      <c r="H270" s="29" t="str">
        <f t="shared" si="14"/>
        <v>28</v>
      </c>
    </row>
    <row r="271" spans="1:8" hidden="1" x14ac:dyDescent="0.35">
      <c r="A271" s="15">
        <f t="shared" si="15"/>
        <v>1106</v>
      </c>
      <c r="B271" s="15">
        <v>11</v>
      </c>
      <c r="C271" s="13" t="s">
        <v>595</v>
      </c>
      <c r="D271" s="13" t="s">
        <v>556</v>
      </c>
      <c r="E271" s="13" t="s">
        <v>1111</v>
      </c>
      <c r="F271" s="9" t="s">
        <v>1122</v>
      </c>
      <c r="G271" s="9" t="s">
        <v>557</v>
      </c>
      <c r="H271" s="29" t="str">
        <f t="shared" si="14"/>
        <v>25</v>
      </c>
    </row>
    <row r="272" spans="1:8" hidden="1" x14ac:dyDescent="0.35">
      <c r="A272" s="15">
        <f t="shared" si="15"/>
        <v>1107</v>
      </c>
      <c r="B272" s="15">
        <v>11</v>
      </c>
      <c r="C272" s="13" t="s">
        <v>595</v>
      </c>
      <c r="D272" s="13" t="s">
        <v>550</v>
      </c>
      <c r="E272" s="13" t="s">
        <v>1100</v>
      </c>
      <c r="F272" s="9" t="s">
        <v>60</v>
      </c>
      <c r="G272" s="9" t="s">
        <v>551</v>
      </c>
      <c r="H272" s="29" t="str">
        <f t="shared" si="14"/>
        <v>26</v>
      </c>
    </row>
    <row r="273" spans="1:8" hidden="1" x14ac:dyDescent="0.35">
      <c r="A273" s="15">
        <f t="shared" si="15"/>
        <v>1108</v>
      </c>
      <c r="B273" s="15">
        <v>11</v>
      </c>
      <c r="C273" s="13" t="s">
        <v>595</v>
      </c>
      <c r="D273" s="13" t="s">
        <v>590</v>
      </c>
      <c r="E273" s="13" t="s">
        <v>1068</v>
      </c>
      <c r="F273" s="9" t="s">
        <v>1118</v>
      </c>
      <c r="G273" s="9" t="s">
        <v>591</v>
      </c>
      <c r="H273" s="29" t="str">
        <f t="shared" si="14"/>
        <v>17</v>
      </c>
    </row>
    <row r="274" spans="1:8" hidden="1" x14ac:dyDescent="0.35">
      <c r="A274" s="15">
        <f t="shared" si="15"/>
        <v>1109</v>
      </c>
      <c r="B274" s="15">
        <v>11</v>
      </c>
      <c r="C274" s="13" t="s">
        <v>595</v>
      </c>
      <c r="D274" s="13" t="s">
        <v>572</v>
      </c>
      <c r="E274" s="13" t="s">
        <v>1055</v>
      </c>
      <c r="F274" s="9" t="s">
        <v>1122</v>
      </c>
      <c r="G274" s="9" t="s">
        <v>573</v>
      </c>
      <c r="H274" s="29" t="str">
        <f t="shared" si="14"/>
        <v>25</v>
      </c>
    </row>
    <row r="275" spans="1:8" hidden="1" x14ac:dyDescent="0.35">
      <c r="A275" s="15">
        <f t="shared" si="15"/>
        <v>1110</v>
      </c>
      <c r="B275" s="15">
        <v>11</v>
      </c>
      <c r="C275" s="13" t="s">
        <v>595</v>
      </c>
      <c r="D275" s="13" t="s">
        <v>592</v>
      </c>
      <c r="E275" s="13" t="s">
        <v>1070</v>
      </c>
      <c r="F275" s="9" t="s">
        <v>1117</v>
      </c>
      <c r="G275" s="9" t="s">
        <v>593</v>
      </c>
      <c r="H275" s="29" t="str">
        <f t="shared" si="14"/>
        <v>25</v>
      </c>
    </row>
    <row r="276" spans="1:8" hidden="1" x14ac:dyDescent="0.35">
      <c r="A276" s="15">
        <f t="shared" si="15"/>
        <v>1111</v>
      </c>
      <c r="B276" s="15">
        <v>11</v>
      </c>
      <c r="C276" s="13" t="s">
        <v>595</v>
      </c>
      <c r="D276" s="13" t="s">
        <v>580</v>
      </c>
      <c r="E276" s="13" t="s">
        <v>1068</v>
      </c>
      <c r="F276" s="9" t="s">
        <v>1120</v>
      </c>
      <c r="G276" s="9" t="s">
        <v>581</v>
      </c>
      <c r="H276" s="29" t="str">
        <f t="shared" si="14"/>
        <v>28</v>
      </c>
    </row>
    <row r="277" spans="1:8" hidden="1" x14ac:dyDescent="0.35">
      <c r="A277" s="15">
        <f t="shared" si="15"/>
        <v>1112</v>
      </c>
      <c r="B277" s="15">
        <v>11</v>
      </c>
      <c r="C277" s="13" t="s">
        <v>595</v>
      </c>
      <c r="D277" s="13" t="s">
        <v>586</v>
      </c>
      <c r="E277" s="13" t="s">
        <v>1101</v>
      </c>
      <c r="F277" s="9" t="s">
        <v>1126</v>
      </c>
      <c r="G277" s="9" t="s">
        <v>587</v>
      </c>
      <c r="H277" s="29" t="str">
        <f t="shared" si="14"/>
        <v>26</v>
      </c>
    </row>
    <row r="278" spans="1:8" hidden="1" x14ac:dyDescent="0.35">
      <c r="A278" s="15">
        <f t="shared" si="15"/>
        <v>1113</v>
      </c>
      <c r="B278" s="15">
        <v>11</v>
      </c>
      <c r="C278" s="13" t="s">
        <v>595</v>
      </c>
      <c r="D278" s="13" t="s">
        <v>582</v>
      </c>
      <c r="E278" s="13" t="s">
        <v>1068</v>
      </c>
      <c r="F278" s="9" t="s">
        <v>60</v>
      </c>
      <c r="G278" s="9" t="s">
        <v>583</v>
      </c>
      <c r="H278" s="29" t="str">
        <f t="shared" si="14"/>
        <v>27</v>
      </c>
    </row>
    <row r="279" spans="1:8" hidden="1" x14ac:dyDescent="0.35">
      <c r="A279" s="15">
        <f t="shared" si="15"/>
        <v>1114</v>
      </c>
      <c r="B279" s="15">
        <v>11</v>
      </c>
      <c r="C279" s="13" t="s">
        <v>595</v>
      </c>
      <c r="D279" s="13" t="s">
        <v>548</v>
      </c>
      <c r="E279" s="13" t="s">
        <v>1068</v>
      </c>
      <c r="F279" s="9" t="s">
        <v>60</v>
      </c>
      <c r="G279" s="9" t="s">
        <v>549</v>
      </c>
      <c r="H279" s="29" t="str">
        <f t="shared" si="14"/>
        <v>25</v>
      </c>
    </row>
    <row r="280" spans="1:8" hidden="1" x14ac:dyDescent="0.35">
      <c r="A280" s="15">
        <f t="shared" si="15"/>
        <v>1115</v>
      </c>
      <c r="B280" s="15">
        <v>11</v>
      </c>
      <c r="C280" s="13" t="s">
        <v>595</v>
      </c>
      <c r="D280" s="13" t="s">
        <v>544</v>
      </c>
      <c r="E280" s="13" t="s">
        <v>1111</v>
      </c>
      <c r="F280" s="9" t="s">
        <v>60</v>
      </c>
      <c r="G280" s="9" t="s">
        <v>545</v>
      </c>
      <c r="H280" s="29" t="str">
        <f t="shared" si="14"/>
        <v>27</v>
      </c>
    </row>
    <row r="281" spans="1:8" hidden="1" x14ac:dyDescent="0.35">
      <c r="A281" s="15">
        <f t="shared" si="15"/>
        <v>1116</v>
      </c>
      <c r="B281" s="15">
        <v>11</v>
      </c>
      <c r="C281" s="13" t="s">
        <v>595</v>
      </c>
      <c r="D281" s="13" t="s">
        <v>576</v>
      </c>
      <c r="E281" s="13" t="s">
        <v>1091</v>
      </c>
      <c r="F281" s="9" t="s">
        <v>1124</v>
      </c>
      <c r="G281" s="9" t="s">
        <v>577</v>
      </c>
      <c r="H281" s="29" t="str">
        <f t="shared" si="14"/>
        <v>26</v>
      </c>
    </row>
    <row r="282" spans="1:8" hidden="1" x14ac:dyDescent="0.35">
      <c r="A282" s="15">
        <f t="shared" si="15"/>
        <v>1117</v>
      </c>
      <c r="B282" s="15">
        <v>11</v>
      </c>
      <c r="C282" s="13" t="s">
        <v>595</v>
      </c>
      <c r="D282" s="13" t="s">
        <v>560</v>
      </c>
      <c r="E282" s="13" t="s">
        <v>1111</v>
      </c>
      <c r="F282" s="9" t="s">
        <v>1117</v>
      </c>
      <c r="G282" s="9" t="s">
        <v>561</v>
      </c>
      <c r="H282" s="29" t="str">
        <f t="shared" si="14"/>
        <v>35</v>
      </c>
    </row>
    <row r="283" spans="1:8" hidden="1" x14ac:dyDescent="0.35">
      <c r="A283" s="15">
        <f t="shared" si="15"/>
        <v>1118</v>
      </c>
      <c r="B283" s="15">
        <v>11</v>
      </c>
      <c r="C283" s="13" t="s">
        <v>595</v>
      </c>
      <c r="D283" s="13" t="s">
        <v>594</v>
      </c>
      <c r="E283" s="13" t="s">
        <v>1053</v>
      </c>
      <c r="F283" s="9" t="s">
        <v>1121</v>
      </c>
      <c r="G283" s="8">
        <v>0</v>
      </c>
      <c r="H283" s="29" t="str">
        <f t="shared" si="14"/>
        <v>0</v>
      </c>
    </row>
    <row r="284" spans="1:8" hidden="1" x14ac:dyDescent="0.35">
      <c r="A284" s="15">
        <f t="shared" si="15"/>
        <v>1119</v>
      </c>
      <c r="B284" s="15">
        <v>11</v>
      </c>
      <c r="C284" s="13" t="s">
        <v>595</v>
      </c>
      <c r="D284" s="13" t="s">
        <v>566</v>
      </c>
      <c r="E284" s="13" t="s">
        <v>1056</v>
      </c>
      <c r="F284" s="9" t="s">
        <v>1117</v>
      </c>
      <c r="G284" s="9" t="s">
        <v>567</v>
      </c>
      <c r="H284" s="29" t="str">
        <f t="shared" si="14"/>
        <v>27</v>
      </c>
    </row>
    <row r="285" spans="1:8" hidden="1" x14ac:dyDescent="0.35">
      <c r="A285" s="15">
        <f t="shared" si="15"/>
        <v>1120</v>
      </c>
      <c r="B285" s="15">
        <v>11</v>
      </c>
      <c r="C285" s="13" t="s">
        <v>595</v>
      </c>
      <c r="D285" s="13" t="s">
        <v>578</v>
      </c>
      <c r="E285" s="13" t="s">
        <v>1063</v>
      </c>
      <c r="F285" s="9" t="s">
        <v>1118</v>
      </c>
      <c r="G285" s="9" t="s">
        <v>579</v>
      </c>
      <c r="H285" s="29" t="str">
        <f t="shared" si="14"/>
        <v>26</v>
      </c>
    </row>
    <row r="286" spans="1:8" hidden="1" x14ac:dyDescent="0.35">
      <c r="A286" s="15">
        <f t="shared" si="15"/>
        <v>1121</v>
      </c>
      <c r="B286" s="15">
        <v>11</v>
      </c>
      <c r="C286" s="13" t="s">
        <v>595</v>
      </c>
      <c r="D286" s="13" t="s">
        <v>564</v>
      </c>
      <c r="E286" s="13" t="s">
        <v>1058</v>
      </c>
      <c r="F286" s="9" t="s">
        <v>1118</v>
      </c>
      <c r="G286" s="9" t="s">
        <v>565</v>
      </c>
      <c r="H286" s="29" t="str">
        <f t="shared" si="14"/>
        <v>25</v>
      </c>
    </row>
    <row r="287" spans="1:8" hidden="1" x14ac:dyDescent="0.35">
      <c r="A287" s="15">
        <f t="shared" si="15"/>
        <v>1122</v>
      </c>
      <c r="B287" s="15">
        <v>11</v>
      </c>
      <c r="C287" s="13" t="s">
        <v>595</v>
      </c>
      <c r="D287" s="13" t="s">
        <v>546</v>
      </c>
      <c r="E287" s="13" t="s">
        <v>1091</v>
      </c>
      <c r="F287" s="9" t="s">
        <v>60</v>
      </c>
      <c r="G287" s="9" t="s">
        <v>547</v>
      </c>
      <c r="H287" s="29" t="str">
        <f t="shared" si="14"/>
        <v>26</v>
      </c>
    </row>
    <row r="288" spans="1:8" hidden="1" x14ac:dyDescent="0.35">
      <c r="A288" s="15">
        <f t="shared" si="15"/>
        <v>1123</v>
      </c>
      <c r="B288" s="15">
        <v>11</v>
      </c>
      <c r="C288" s="13" t="s">
        <v>595</v>
      </c>
      <c r="D288" s="13" t="s">
        <v>584</v>
      </c>
      <c r="E288" s="13" t="s">
        <v>1068</v>
      </c>
      <c r="F288" s="9" t="s">
        <v>60</v>
      </c>
      <c r="G288" s="9" t="s">
        <v>585</v>
      </c>
      <c r="H288" s="29" t="str">
        <f t="shared" si="14"/>
        <v>32</v>
      </c>
    </row>
    <row r="289" spans="1:8" hidden="1" x14ac:dyDescent="0.35">
      <c r="A289" s="15">
        <f t="shared" si="15"/>
        <v>1124</v>
      </c>
      <c r="B289" s="15">
        <v>11</v>
      </c>
      <c r="C289" s="13" t="s">
        <v>595</v>
      </c>
      <c r="D289" s="13" t="s">
        <v>554</v>
      </c>
      <c r="E289" s="13" t="s">
        <v>1068</v>
      </c>
      <c r="F289" s="9" t="s">
        <v>1122</v>
      </c>
      <c r="G289" s="9" t="s">
        <v>555</v>
      </c>
      <c r="H289" s="29" t="str">
        <f t="shared" si="14"/>
        <v>27</v>
      </c>
    </row>
    <row r="290" spans="1:8" hidden="1" x14ac:dyDescent="0.35">
      <c r="A290" s="15">
        <f t="shared" si="15"/>
        <v>1125</v>
      </c>
      <c r="B290" s="15">
        <v>11</v>
      </c>
      <c r="C290" s="13" t="s">
        <v>595</v>
      </c>
      <c r="D290" s="13" t="s">
        <v>588</v>
      </c>
      <c r="E290" s="13" t="s">
        <v>1053</v>
      </c>
      <c r="F290" s="9" t="s">
        <v>60</v>
      </c>
      <c r="G290" s="9" t="s">
        <v>589</v>
      </c>
      <c r="H290" s="29" t="str">
        <f t="shared" si="14"/>
        <v>26</v>
      </c>
    </row>
    <row r="291" spans="1:8" hidden="1" x14ac:dyDescent="0.35">
      <c r="A291" s="15">
        <f t="shared" si="15"/>
        <v>1126</v>
      </c>
      <c r="B291" s="15">
        <v>11</v>
      </c>
      <c r="C291" s="13" t="s">
        <v>595</v>
      </c>
      <c r="D291" s="13" t="s">
        <v>570</v>
      </c>
      <c r="E291" s="13" t="s">
        <v>1082</v>
      </c>
      <c r="F291" s="9" t="s">
        <v>1118</v>
      </c>
      <c r="G291" s="9" t="s">
        <v>571</v>
      </c>
      <c r="H291" s="29" t="str">
        <f t="shared" si="14"/>
        <v>21</v>
      </c>
    </row>
    <row r="292" spans="1:8" hidden="1" x14ac:dyDescent="0.35">
      <c r="A292" s="15">
        <v>1201</v>
      </c>
      <c r="B292" s="15">
        <v>12</v>
      </c>
      <c r="C292" s="13" t="s">
        <v>642</v>
      </c>
      <c r="D292" s="13" t="s">
        <v>619</v>
      </c>
      <c r="E292" s="13" t="s">
        <v>1100</v>
      </c>
      <c r="F292" s="9" t="s">
        <v>1118</v>
      </c>
      <c r="G292" s="9" t="s">
        <v>620</v>
      </c>
      <c r="H292" s="29" t="str">
        <f t="shared" si="14"/>
        <v>26</v>
      </c>
    </row>
    <row r="293" spans="1:8" hidden="1" x14ac:dyDescent="0.35">
      <c r="A293" s="15">
        <f>A292+1</f>
        <v>1202</v>
      </c>
      <c r="B293" s="15">
        <v>12</v>
      </c>
      <c r="C293" s="13" t="s">
        <v>642</v>
      </c>
      <c r="D293" s="13" t="s">
        <v>611</v>
      </c>
      <c r="E293" s="13" t="s">
        <v>1051</v>
      </c>
      <c r="F293" s="9" t="s">
        <v>1122</v>
      </c>
      <c r="G293" s="9" t="s">
        <v>612</v>
      </c>
      <c r="H293" s="29" t="str">
        <f t="shared" si="14"/>
        <v>26</v>
      </c>
    </row>
    <row r="294" spans="1:8" hidden="1" x14ac:dyDescent="0.35">
      <c r="A294" s="15">
        <f t="shared" ref="A294:A316" si="16">A293+1</f>
        <v>1203</v>
      </c>
      <c r="B294" s="15">
        <v>12</v>
      </c>
      <c r="C294" s="13" t="s">
        <v>642</v>
      </c>
      <c r="D294" s="13" t="s">
        <v>607</v>
      </c>
      <c r="E294" s="13" t="s">
        <v>1056</v>
      </c>
      <c r="F294" s="9" t="s">
        <v>1117</v>
      </c>
      <c r="G294" s="9" t="s">
        <v>608</v>
      </c>
      <c r="H294" s="29" t="str">
        <f t="shared" si="14"/>
        <v>33</v>
      </c>
    </row>
    <row r="295" spans="1:8" hidden="1" x14ac:dyDescent="0.35">
      <c r="A295" s="15">
        <f t="shared" si="16"/>
        <v>1204</v>
      </c>
      <c r="B295" s="15">
        <v>12</v>
      </c>
      <c r="C295" s="13" t="s">
        <v>642</v>
      </c>
      <c r="D295" s="13" t="s">
        <v>627</v>
      </c>
      <c r="E295" s="13" t="s">
        <v>1099</v>
      </c>
      <c r="F295" s="9" t="s">
        <v>60</v>
      </c>
      <c r="G295" s="9" t="s">
        <v>628</v>
      </c>
      <c r="H295" s="29" t="str">
        <f t="shared" si="14"/>
        <v>31</v>
      </c>
    </row>
    <row r="296" spans="1:8" hidden="1" x14ac:dyDescent="0.35">
      <c r="A296" s="15">
        <f t="shared" si="16"/>
        <v>1205</v>
      </c>
      <c r="B296" s="15">
        <v>12</v>
      </c>
      <c r="C296" s="13" t="s">
        <v>642</v>
      </c>
      <c r="D296" s="13" t="s">
        <v>606</v>
      </c>
      <c r="E296" s="13" t="s">
        <v>1091</v>
      </c>
      <c r="F296" s="9" t="s">
        <v>1118</v>
      </c>
      <c r="G296" s="9" t="s">
        <v>154</v>
      </c>
      <c r="H296" s="29" t="str">
        <f t="shared" si="14"/>
        <v>26</v>
      </c>
    </row>
    <row r="297" spans="1:8" hidden="1" x14ac:dyDescent="0.35">
      <c r="A297" s="15">
        <f t="shared" si="16"/>
        <v>1206</v>
      </c>
      <c r="B297" s="15">
        <v>12</v>
      </c>
      <c r="C297" s="13" t="s">
        <v>642</v>
      </c>
      <c r="D297" s="13" t="s">
        <v>617</v>
      </c>
      <c r="E297" s="13" t="s">
        <v>1090</v>
      </c>
      <c r="F297" s="9" t="s">
        <v>60</v>
      </c>
      <c r="G297" s="9" t="s">
        <v>618</v>
      </c>
      <c r="H297" s="29" t="str">
        <f t="shared" si="14"/>
        <v>22</v>
      </c>
    </row>
    <row r="298" spans="1:8" hidden="1" x14ac:dyDescent="0.35">
      <c r="A298" s="15">
        <f t="shared" si="16"/>
        <v>1207</v>
      </c>
      <c r="B298" s="15">
        <v>12</v>
      </c>
      <c r="C298" s="13" t="s">
        <v>642</v>
      </c>
      <c r="D298" s="13" t="s">
        <v>621</v>
      </c>
      <c r="E298" s="13" t="s">
        <v>1068</v>
      </c>
      <c r="F298" s="9" t="s">
        <v>1122</v>
      </c>
      <c r="G298" s="9" t="s">
        <v>622</v>
      </c>
      <c r="H298" s="29" t="str">
        <f t="shared" si="14"/>
        <v>24</v>
      </c>
    </row>
    <row r="299" spans="1:8" hidden="1" x14ac:dyDescent="0.35">
      <c r="A299" s="15">
        <f t="shared" si="16"/>
        <v>1208</v>
      </c>
      <c r="B299" s="15">
        <v>12</v>
      </c>
      <c r="C299" s="13" t="s">
        <v>642</v>
      </c>
      <c r="D299" s="13" t="s">
        <v>596</v>
      </c>
      <c r="E299" s="13" t="s">
        <v>1078</v>
      </c>
      <c r="F299" s="9" t="s">
        <v>1125</v>
      </c>
      <c r="G299" s="9" t="s">
        <v>597</v>
      </c>
      <c r="H299" s="29" t="str">
        <f t="shared" si="14"/>
        <v>24</v>
      </c>
    </row>
    <row r="300" spans="1:8" hidden="1" x14ac:dyDescent="0.35">
      <c r="A300" s="15">
        <f t="shared" si="16"/>
        <v>1209</v>
      </c>
      <c r="B300" s="15">
        <v>12</v>
      </c>
      <c r="C300" s="13" t="s">
        <v>642</v>
      </c>
      <c r="D300" s="13" t="s">
        <v>629</v>
      </c>
      <c r="E300" s="13" t="s">
        <v>1082</v>
      </c>
      <c r="F300" s="9" t="s">
        <v>1124</v>
      </c>
      <c r="G300" s="9" t="s">
        <v>79</v>
      </c>
      <c r="H300" s="29" t="str">
        <f t="shared" si="14"/>
        <v>27</v>
      </c>
    </row>
    <row r="301" spans="1:8" hidden="1" x14ac:dyDescent="0.35">
      <c r="A301" s="15">
        <f t="shared" si="16"/>
        <v>1210</v>
      </c>
      <c r="B301" s="15">
        <v>12</v>
      </c>
      <c r="C301" s="13" t="s">
        <v>642</v>
      </c>
      <c r="D301" s="13" t="s">
        <v>613</v>
      </c>
      <c r="E301" s="13" t="s">
        <v>1063</v>
      </c>
      <c r="F301" s="9" t="s">
        <v>1123</v>
      </c>
      <c r="G301" s="9" t="s">
        <v>614</v>
      </c>
      <c r="H301" s="29" t="str">
        <f t="shared" si="14"/>
        <v>22</v>
      </c>
    </row>
    <row r="302" spans="1:8" hidden="1" x14ac:dyDescent="0.35">
      <c r="A302" s="15">
        <f t="shared" si="16"/>
        <v>1211</v>
      </c>
      <c r="B302" s="15">
        <v>12</v>
      </c>
      <c r="C302" s="13" t="s">
        <v>642</v>
      </c>
      <c r="D302" s="13" t="s">
        <v>640</v>
      </c>
      <c r="E302" s="13" t="s">
        <v>1068</v>
      </c>
      <c r="F302" s="9" t="s">
        <v>1117</v>
      </c>
      <c r="G302" s="9" t="s">
        <v>641</v>
      </c>
      <c r="H302" s="29" t="str">
        <f t="shared" si="14"/>
        <v>28</v>
      </c>
    </row>
    <row r="303" spans="1:8" hidden="1" x14ac:dyDescent="0.35">
      <c r="A303" s="15">
        <f t="shared" si="16"/>
        <v>1212</v>
      </c>
      <c r="B303" s="15">
        <v>12</v>
      </c>
      <c r="C303" s="13" t="s">
        <v>642</v>
      </c>
      <c r="D303" s="13" t="s">
        <v>623</v>
      </c>
      <c r="E303" s="13" t="s">
        <v>1071</v>
      </c>
      <c r="F303" s="9" t="s">
        <v>1117</v>
      </c>
      <c r="G303" s="9" t="s">
        <v>624</v>
      </c>
      <c r="H303" s="29" t="str">
        <f t="shared" si="14"/>
        <v>25</v>
      </c>
    </row>
    <row r="304" spans="1:8" hidden="1" x14ac:dyDescent="0.35">
      <c r="A304" s="15">
        <f t="shared" si="16"/>
        <v>1213</v>
      </c>
      <c r="B304" s="15">
        <v>12</v>
      </c>
      <c r="C304" s="13" t="s">
        <v>642</v>
      </c>
      <c r="D304" s="13" t="s">
        <v>637</v>
      </c>
      <c r="E304" s="13" t="s">
        <v>1082</v>
      </c>
      <c r="F304" s="9" t="s">
        <v>60</v>
      </c>
      <c r="G304" s="9" t="s">
        <v>638</v>
      </c>
      <c r="H304" s="29" t="str">
        <f t="shared" si="14"/>
        <v>18</v>
      </c>
    </row>
    <row r="305" spans="1:8" hidden="1" x14ac:dyDescent="0.35">
      <c r="A305" s="15">
        <f t="shared" si="16"/>
        <v>1214</v>
      </c>
      <c r="B305" s="15">
        <v>12</v>
      </c>
      <c r="C305" s="13" t="s">
        <v>642</v>
      </c>
      <c r="D305" s="13" t="s">
        <v>105</v>
      </c>
      <c r="E305" s="13" t="s">
        <v>1068</v>
      </c>
      <c r="F305" s="9" t="s">
        <v>1123</v>
      </c>
      <c r="G305" s="9" t="s">
        <v>636</v>
      </c>
      <c r="H305" s="29" t="str">
        <f t="shared" si="14"/>
        <v>22</v>
      </c>
    </row>
    <row r="306" spans="1:8" hidden="1" x14ac:dyDescent="0.35">
      <c r="A306" s="15">
        <f t="shared" si="16"/>
        <v>1215</v>
      </c>
      <c r="B306" s="15">
        <v>12</v>
      </c>
      <c r="C306" s="13" t="s">
        <v>642</v>
      </c>
      <c r="D306" s="13" t="s">
        <v>615</v>
      </c>
      <c r="E306" s="13" t="s">
        <v>1070</v>
      </c>
      <c r="F306" s="9" t="s">
        <v>1118</v>
      </c>
      <c r="G306" s="9" t="s">
        <v>616</v>
      </c>
      <c r="H306" s="29" t="str">
        <f t="shared" si="14"/>
        <v>23</v>
      </c>
    </row>
    <row r="307" spans="1:8" hidden="1" x14ac:dyDescent="0.35">
      <c r="A307" s="15">
        <f t="shared" si="16"/>
        <v>1216</v>
      </c>
      <c r="B307" s="15">
        <v>12</v>
      </c>
      <c r="C307" s="13" t="s">
        <v>642</v>
      </c>
      <c r="D307" s="13" t="s">
        <v>602</v>
      </c>
      <c r="E307" s="13" t="s">
        <v>1070</v>
      </c>
      <c r="F307" s="9" t="s">
        <v>60</v>
      </c>
      <c r="G307" s="9" t="s">
        <v>603</v>
      </c>
      <c r="H307" s="29" t="str">
        <f t="shared" si="14"/>
        <v>26</v>
      </c>
    </row>
    <row r="308" spans="1:8" hidden="1" x14ac:dyDescent="0.35">
      <c r="A308" s="15">
        <f t="shared" si="16"/>
        <v>1217</v>
      </c>
      <c r="B308" s="15">
        <v>12</v>
      </c>
      <c r="C308" s="13" t="s">
        <v>642</v>
      </c>
      <c r="D308" s="13" t="s">
        <v>625</v>
      </c>
      <c r="E308" s="13" t="s">
        <v>1091</v>
      </c>
      <c r="F308" s="9" t="s">
        <v>60</v>
      </c>
      <c r="G308" s="9" t="s">
        <v>626</v>
      </c>
      <c r="H308" s="29" t="str">
        <f t="shared" si="14"/>
        <v>24</v>
      </c>
    </row>
    <row r="309" spans="1:8" hidden="1" x14ac:dyDescent="0.35">
      <c r="A309" s="15">
        <f t="shared" si="16"/>
        <v>1218</v>
      </c>
      <c r="B309" s="15">
        <v>12</v>
      </c>
      <c r="C309" s="13" t="s">
        <v>642</v>
      </c>
      <c r="D309" s="13" t="s">
        <v>632</v>
      </c>
      <c r="E309" s="13" t="s">
        <v>1068</v>
      </c>
      <c r="F309" s="9" t="s">
        <v>60</v>
      </c>
      <c r="G309" s="9" t="s">
        <v>633</v>
      </c>
      <c r="H309" s="29" t="str">
        <f t="shared" si="14"/>
        <v>28</v>
      </c>
    </row>
    <row r="310" spans="1:8" hidden="1" x14ac:dyDescent="0.35">
      <c r="A310" s="15">
        <f t="shared" si="16"/>
        <v>1219</v>
      </c>
      <c r="B310" s="15">
        <v>12</v>
      </c>
      <c r="C310" s="13" t="s">
        <v>642</v>
      </c>
      <c r="D310" s="13" t="s">
        <v>604</v>
      </c>
      <c r="E310" s="13" t="s">
        <v>1078</v>
      </c>
      <c r="F310" s="9" t="s">
        <v>60</v>
      </c>
      <c r="G310" s="9" t="s">
        <v>605</v>
      </c>
      <c r="H310" s="29" t="str">
        <f t="shared" si="14"/>
        <v>21</v>
      </c>
    </row>
    <row r="311" spans="1:8" hidden="1" x14ac:dyDescent="0.35">
      <c r="A311" s="15">
        <f t="shared" si="16"/>
        <v>1220</v>
      </c>
      <c r="B311" s="15">
        <v>12</v>
      </c>
      <c r="C311" s="13" t="s">
        <v>642</v>
      </c>
      <c r="D311" s="13" t="s">
        <v>600</v>
      </c>
      <c r="E311" s="13" t="s">
        <v>1067</v>
      </c>
      <c r="F311" s="9" t="s">
        <v>1118</v>
      </c>
      <c r="G311" s="9" t="s">
        <v>601</v>
      </c>
      <c r="H311" s="29" t="str">
        <f t="shared" si="14"/>
        <v>33</v>
      </c>
    </row>
    <row r="312" spans="1:8" hidden="1" x14ac:dyDescent="0.35">
      <c r="A312" s="15">
        <f t="shared" si="16"/>
        <v>1221</v>
      </c>
      <c r="B312" s="15">
        <v>12</v>
      </c>
      <c r="C312" s="13" t="s">
        <v>642</v>
      </c>
      <c r="D312" s="13" t="s">
        <v>634</v>
      </c>
      <c r="E312" s="13" t="s">
        <v>1068</v>
      </c>
      <c r="F312" s="9" t="s">
        <v>1124</v>
      </c>
      <c r="G312" s="9" t="s">
        <v>635</v>
      </c>
      <c r="H312" s="29" t="str">
        <f t="shared" si="14"/>
        <v>17</v>
      </c>
    </row>
    <row r="313" spans="1:8" hidden="1" x14ac:dyDescent="0.35">
      <c r="A313" s="15">
        <f t="shared" si="16"/>
        <v>1222</v>
      </c>
      <c r="B313" s="15">
        <v>12</v>
      </c>
      <c r="C313" s="13" t="s">
        <v>642</v>
      </c>
      <c r="D313" s="13" t="s">
        <v>609</v>
      </c>
      <c r="E313" s="13" t="s">
        <v>1091</v>
      </c>
      <c r="F313" s="9" t="s">
        <v>1125</v>
      </c>
      <c r="G313" s="9" t="s">
        <v>610</v>
      </c>
      <c r="H313" s="29" t="str">
        <f t="shared" si="14"/>
        <v>23</v>
      </c>
    </row>
    <row r="314" spans="1:8" hidden="1" x14ac:dyDescent="0.35">
      <c r="A314" s="15">
        <f t="shared" si="16"/>
        <v>1223</v>
      </c>
      <c r="B314" s="15">
        <v>12</v>
      </c>
      <c r="C314" s="13" t="s">
        <v>642</v>
      </c>
      <c r="D314" s="13" t="s">
        <v>639</v>
      </c>
      <c r="E314" s="13" t="s">
        <v>1068</v>
      </c>
      <c r="F314" s="9" t="s">
        <v>1122</v>
      </c>
      <c r="G314" s="9" t="s">
        <v>160</v>
      </c>
      <c r="H314" s="29" t="str">
        <f t="shared" si="14"/>
        <v>18</v>
      </c>
    </row>
    <row r="315" spans="1:8" hidden="1" x14ac:dyDescent="0.35">
      <c r="A315" s="15">
        <f t="shared" si="16"/>
        <v>1224</v>
      </c>
      <c r="B315" s="15">
        <v>12</v>
      </c>
      <c r="C315" s="13" t="s">
        <v>642</v>
      </c>
      <c r="D315" s="13" t="s">
        <v>598</v>
      </c>
      <c r="E315" s="13" t="s">
        <v>1091</v>
      </c>
      <c r="F315" s="9" t="s">
        <v>60</v>
      </c>
      <c r="G315" s="9" t="s">
        <v>599</v>
      </c>
      <c r="H315" s="29" t="str">
        <f t="shared" si="14"/>
        <v>34</v>
      </c>
    </row>
    <row r="316" spans="1:8" hidden="1" x14ac:dyDescent="0.35">
      <c r="A316" s="15">
        <f t="shared" si="16"/>
        <v>1225</v>
      </c>
      <c r="B316" s="15">
        <v>12</v>
      </c>
      <c r="C316" s="13" t="s">
        <v>642</v>
      </c>
      <c r="D316" s="13" t="s">
        <v>630</v>
      </c>
      <c r="E316" s="13" t="s">
        <v>1084</v>
      </c>
      <c r="F316" s="9" t="s">
        <v>1125</v>
      </c>
      <c r="G316" s="9" t="s">
        <v>631</v>
      </c>
      <c r="H316" s="29" t="str">
        <f t="shared" si="14"/>
        <v>32</v>
      </c>
    </row>
    <row r="317" spans="1:8" hidden="1" x14ac:dyDescent="0.35">
      <c r="A317" s="15">
        <v>1301</v>
      </c>
      <c r="B317" s="15">
        <v>13</v>
      </c>
      <c r="C317" s="13" t="s">
        <v>702</v>
      </c>
      <c r="D317" s="13" t="s">
        <v>673</v>
      </c>
      <c r="E317" s="13" t="s">
        <v>1110</v>
      </c>
      <c r="F317" s="9" t="s">
        <v>60</v>
      </c>
      <c r="G317" s="9" t="s">
        <v>674</v>
      </c>
      <c r="H317" s="29" t="str">
        <f t="shared" si="14"/>
        <v>21</v>
      </c>
    </row>
    <row r="318" spans="1:8" hidden="1" x14ac:dyDescent="0.35">
      <c r="A318" s="15">
        <f>A317+1</f>
        <v>1302</v>
      </c>
      <c r="B318" s="15">
        <v>13</v>
      </c>
      <c r="C318" s="13" t="s">
        <v>702</v>
      </c>
      <c r="D318" s="13" t="s">
        <v>653</v>
      </c>
      <c r="E318" s="13" t="s">
        <v>1096</v>
      </c>
      <c r="F318" s="9" t="s">
        <v>1122</v>
      </c>
      <c r="G318" s="9" t="s">
        <v>654</v>
      </c>
      <c r="H318" s="29" t="str">
        <f t="shared" si="14"/>
        <v>31</v>
      </c>
    </row>
    <row r="319" spans="1:8" hidden="1" x14ac:dyDescent="0.35">
      <c r="A319" s="15">
        <f t="shared" ref="A319:A346" si="17">A318+1</f>
        <v>1303</v>
      </c>
      <c r="B319" s="15">
        <v>13</v>
      </c>
      <c r="C319" s="13" t="s">
        <v>702</v>
      </c>
      <c r="D319" s="13" t="s">
        <v>698</v>
      </c>
      <c r="E319" s="13" t="s">
        <v>1068</v>
      </c>
      <c r="F319" s="9" t="s">
        <v>1122</v>
      </c>
      <c r="G319" s="9" t="s">
        <v>699</v>
      </c>
      <c r="H319" s="29" t="str">
        <f t="shared" si="14"/>
        <v>18</v>
      </c>
    </row>
    <row r="320" spans="1:8" hidden="1" x14ac:dyDescent="0.35">
      <c r="A320" s="15">
        <f t="shared" si="17"/>
        <v>1304</v>
      </c>
      <c r="B320" s="15">
        <v>13</v>
      </c>
      <c r="C320" s="13" t="s">
        <v>702</v>
      </c>
      <c r="D320" s="13" t="s">
        <v>689</v>
      </c>
      <c r="E320" s="13" t="s">
        <v>1056</v>
      </c>
      <c r="F320" s="9" t="s">
        <v>1117</v>
      </c>
      <c r="G320" s="9" t="s">
        <v>690</v>
      </c>
      <c r="H320" s="29" t="str">
        <f t="shared" si="14"/>
        <v>32</v>
      </c>
    </row>
    <row r="321" spans="1:8" hidden="1" x14ac:dyDescent="0.35">
      <c r="A321" s="15">
        <f t="shared" si="17"/>
        <v>1305</v>
      </c>
      <c r="B321" s="15">
        <v>13</v>
      </c>
      <c r="C321" s="13" t="s">
        <v>702</v>
      </c>
      <c r="D321" s="13" t="s">
        <v>645</v>
      </c>
      <c r="E321" s="13" t="s">
        <v>1092</v>
      </c>
      <c r="F321" s="9" t="s">
        <v>1118</v>
      </c>
      <c r="G321" s="9" t="s">
        <v>646</v>
      </c>
      <c r="H321" s="29" t="str">
        <f t="shared" si="14"/>
        <v>25</v>
      </c>
    </row>
    <row r="322" spans="1:8" hidden="1" x14ac:dyDescent="0.35">
      <c r="A322" s="15">
        <f t="shared" si="17"/>
        <v>1306</v>
      </c>
      <c r="B322" s="15">
        <v>13</v>
      </c>
      <c r="C322" s="13" t="s">
        <v>702</v>
      </c>
      <c r="D322" s="13" t="s">
        <v>657</v>
      </c>
      <c r="E322" s="13" t="s">
        <v>1082</v>
      </c>
      <c r="F322" s="9" t="s">
        <v>1117</v>
      </c>
      <c r="G322" s="9" t="s">
        <v>658</v>
      </c>
      <c r="H322" s="29" t="str">
        <f t="shared" ref="H322:H385" si="18">LEFT(G322,2)</f>
        <v>26</v>
      </c>
    </row>
    <row r="323" spans="1:8" hidden="1" x14ac:dyDescent="0.35">
      <c r="A323" s="15">
        <f t="shared" si="17"/>
        <v>1307</v>
      </c>
      <c r="B323" s="15">
        <v>13</v>
      </c>
      <c r="C323" s="13" t="s">
        <v>702</v>
      </c>
      <c r="D323" s="13" t="s">
        <v>691</v>
      </c>
      <c r="E323" s="13" t="s">
        <v>1063</v>
      </c>
      <c r="F323" s="9" t="s">
        <v>1122</v>
      </c>
      <c r="G323" s="9" t="s">
        <v>692</v>
      </c>
      <c r="H323" s="29" t="str">
        <f t="shared" si="18"/>
        <v>34</v>
      </c>
    </row>
    <row r="324" spans="1:8" hidden="1" x14ac:dyDescent="0.35">
      <c r="A324" s="15">
        <f t="shared" si="17"/>
        <v>1308</v>
      </c>
      <c r="B324" s="15">
        <v>13</v>
      </c>
      <c r="C324" s="13" t="s">
        <v>702</v>
      </c>
      <c r="D324" s="13" t="s">
        <v>669</v>
      </c>
      <c r="E324" s="13" t="s">
        <v>1068</v>
      </c>
      <c r="F324" s="9" t="s">
        <v>1117</v>
      </c>
      <c r="G324" s="9" t="s">
        <v>670</v>
      </c>
      <c r="H324" s="29" t="str">
        <f t="shared" si="18"/>
        <v>23</v>
      </c>
    </row>
    <row r="325" spans="1:8" hidden="1" x14ac:dyDescent="0.35">
      <c r="A325" s="15">
        <f t="shared" si="17"/>
        <v>1309</v>
      </c>
      <c r="B325" s="15">
        <v>13</v>
      </c>
      <c r="C325" s="13" t="s">
        <v>702</v>
      </c>
      <c r="D325" s="13" t="s">
        <v>651</v>
      </c>
      <c r="E325" s="13" t="s">
        <v>1053</v>
      </c>
      <c r="F325" s="9" t="s">
        <v>1123</v>
      </c>
      <c r="G325" s="9" t="s">
        <v>652</v>
      </c>
      <c r="H325" s="29" t="str">
        <f t="shared" si="18"/>
        <v>23</v>
      </c>
    </row>
    <row r="326" spans="1:8" hidden="1" x14ac:dyDescent="0.35">
      <c r="A326" s="15">
        <f t="shared" si="17"/>
        <v>1310</v>
      </c>
      <c r="B326" s="15">
        <v>13</v>
      </c>
      <c r="C326" s="13" t="s">
        <v>702</v>
      </c>
      <c r="D326" s="13" t="s">
        <v>671</v>
      </c>
      <c r="E326" s="13" t="s">
        <v>1068</v>
      </c>
      <c r="F326" s="9" t="s">
        <v>60</v>
      </c>
      <c r="G326" s="9" t="s">
        <v>672</v>
      </c>
      <c r="H326" s="29" t="str">
        <f t="shared" si="18"/>
        <v>31</v>
      </c>
    </row>
    <row r="327" spans="1:8" hidden="1" x14ac:dyDescent="0.35">
      <c r="A327" s="15">
        <f t="shared" si="17"/>
        <v>1311</v>
      </c>
      <c r="B327" s="15">
        <v>13</v>
      </c>
      <c r="C327" s="13" t="s">
        <v>702</v>
      </c>
      <c r="D327" s="13" t="s">
        <v>661</v>
      </c>
      <c r="E327" s="13" t="s">
        <v>1076</v>
      </c>
      <c r="F327" s="9" t="s">
        <v>60</v>
      </c>
      <c r="G327" s="9" t="s">
        <v>662</v>
      </c>
      <c r="H327" s="29" t="str">
        <f t="shared" si="18"/>
        <v>23</v>
      </c>
    </row>
    <row r="328" spans="1:8" hidden="1" x14ac:dyDescent="0.35">
      <c r="A328" s="15">
        <f t="shared" si="17"/>
        <v>1312</v>
      </c>
      <c r="B328" s="15">
        <v>13</v>
      </c>
      <c r="C328" s="13" t="s">
        <v>702</v>
      </c>
      <c r="D328" s="13" t="s">
        <v>687</v>
      </c>
      <c r="E328" s="13" t="s">
        <v>1058</v>
      </c>
      <c r="F328" s="9" t="s">
        <v>1126</v>
      </c>
      <c r="G328" s="9" t="s">
        <v>688</v>
      </c>
      <c r="H328" s="29" t="str">
        <f t="shared" si="18"/>
        <v>30</v>
      </c>
    </row>
    <row r="329" spans="1:8" hidden="1" x14ac:dyDescent="0.35">
      <c r="A329" s="15">
        <f t="shared" si="17"/>
        <v>1313</v>
      </c>
      <c r="B329" s="15">
        <v>13</v>
      </c>
      <c r="C329" s="13" t="s">
        <v>702</v>
      </c>
      <c r="D329" s="13" t="s">
        <v>693</v>
      </c>
      <c r="E329" s="13" t="s">
        <v>1076</v>
      </c>
      <c r="F329" s="9" t="s">
        <v>1122</v>
      </c>
      <c r="G329" s="9" t="s">
        <v>694</v>
      </c>
      <c r="H329" s="29" t="str">
        <f t="shared" si="18"/>
        <v>31</v>
      </c>
    </row>
    <row r="330" spans="1:8" hidden="1" x14ac:dyDescent="0.35">
      <c r="A330" s="15">
        <f t="shared" si="17"/>
        <v>1314</v>
      </c>
      <c r="B330" s="15">
        <v>13</v>
      </c>
      <c r="C330" s="13" t="s">
        <v>702</v>
      </c>
      <c r="D330" s="13" t="s">
        <v>667</v>
      </c>
      <c r="E330" s="13" t="s">
        <v>1096</v>
      </c>
      <c r="F330" s="9" t="s">
        <v>60</v>
      </c>
      <c r="G330" s="9" t="s">
        <v>668</v>
      </c>
      <c r="H330" s="29" t="str">
        <f t="shared" si="18"/>
        <v>27</v>
      </c>
    </row>
    <row r="331" spans="1:8" hidden="1" x14ac:dyDescent="0.35">
      <c r="A331" s="15">
        <f t="shared" si="17"/>
        <v>1315</v>
      </c>
      <c r="B331" s="15">
        <v>13</v>
      </c>
      <c r="C331" s="13" t="s">
        <v>702</v>
      </c>
      <c r="D331" s="13" t="s">
        <v>685</v>
      </c>
      <c r="E331" s="13" t="s">
        <v>1091</v>
      </c>
      <c r="F331" s="9" t="s">
        <v>60</v>
      </c>
      <c r="G331" s="9" t="s">
        <v>686</v>
      </c>
      <c r="H331" s="29" t="str">
        <f t="shared" si="18"/>
        <v>30</v>
      </c>
    </row>
    <row r="332" spans="1:8" hidden="1" x14ac:dyDescent="0.35">
      <c r="A332" s="15">
        <f t="shared" si="17"/>
        <v>1316</v>
      </c>
      <c r="B332" s="15">
        <v>13</v>
      </c>
      <c r="C332" s="13" t="s">
        <v>702</v>
      </c>
      <c r="D332" s="13" t="s">
        <v>649</v>
      </c>
      <c r="E332" s="13" t="s">
        <v>1068</v>
      </c>
      <c r="F332" s="9" t="s">
        <v>1126</v>
      </c>
      <c r="G332" s="9" t="s">
        <v>650</v>
      </c>
      <c r="H332" s="29" t="str">
        <f t="shared" si="18"/>
        <v>20</v>
      </c>
    </row>
    <row r="333" spans="1:8" hidden="1" x14ac:dyDescent="0.35">
      <c r="A333" s="15">
        <f t="shared" si="17"/>
        <v>1317</v>
      </c>
      <c r="B333" s="15">
        <v>13</v>
      </c>
      <c r="C333" s="13" t="s">
        <v>702</v>
      </c>
      <c r="D333" s="13" t="s">
        <v>665</v>
      </c>
      <c r="E333" s="13" t="s">
        <v>1069</v>
      </c>
      <c r="F333" s="9" t="s">
        <v>1122</v>
      </c>
      <c r="G333" s="9" t="s">
        <v>666</v>
      </c>
      <c r="H333" s="29" t="str">
        <f t="shared" si="18"/>
        <v>23</v>
      </c>
    </row>
    <row r="334" spans="1:8" hidden="1" x14ac:dyDescent="0.35">
      <c r="A334" s="15">
        <f t="shared" si="17"/>
        <v>1318</v>
      </c>
      <c r="B334" s="15">
        <v>13</v>
      </c>
      <c r="C334" s="13" t="s">
        <v>702</v>
      </c>
      <c r="D334" s="13" t="s">
        <v>681</v>
      </c>
      <c r="E334" s="13" t="s">
        <v>1067</v>
      </c>
      <c r="F334" s="9" t="s">
        <v>1124</v>
      </c>
      <c r="G334" s="9" t="s">
        <v>682</v>
      </c>
      <c r="H334" s="29" t="str">
        <f t="shared" si="18"/>
        <v>26</v>
      </c>
    </row>
    <row r="335" spans="1:8" hidden="1" x14ac:dyDescent="0.35">
      <c r="A335" s="15">
        <f t="shared" si="17"/>
        <v>1319</v>
      </c>
      <c r="B335" s="15">
        <v>13</v>
      </c>
      <c r="C335" s="13" t="s">
        <v>702</v>
      </c>
      <c r="D335" s="13" t="s">
        <v>655</v>
      </c>
      <c r="E335" s="13" t="s">
        <v>1092</v>
      </c>
      <c r="F335" s="9" t="s">
        <v>1124</v>
      </c>
      <c r="G335" s="9" t="s">
        <v>656</v>
      </c>
      <c r="H335" s="29" t="str">
        <f t="shared" si="18"/>
        <v>22</v>
      </c>
    </row>
    <row r="336" spans="1:8" hidden="1" x14ac:dyDescent="0.35">
      <c r="A336" s="15">
        <f t="shared" si="17"/>
        <v>1320</v>
      </c>
      <c r="B336" s="15">
        <v>13</v>
      </c>
      <c r="C336" s="13" t="s">
        <v>702</v>
      </c>
      <c r="D336" s="13" t="s">
        <v>659</v>
      </c>
      <c r="E336" s="13" t="s">
        <v>1068</v>
      </c>
      <c r="F336" s="9" t="s">
        <v>1122</v>
      </c>
      <c r="G336" s="9" t="s">
        <v>660</v>
      </c>
      <c r="H336" s="29" t="str">
        <f t="shared" si="18"/>
        <v>25</v>
      </c>
    </row>
    <row r="337" spans="1:8" hidden="1" x14ac:dyDescent="0.35">
      <c r="A337" s="15">
        <f t="shared" si="17"/>
        <v>1321</v>
      </c>
      <c r="B337" s="15">
        <v>13</v>
      </c>
      <c r="C337" s="13" t="s">
        <v>702</v>
      </c>
      <c r="D337" s="13" t="s">
        <v>675</v>
      </c>
      <c r="E337" s="13" t="s">
        <v>1065</v>
      </c>
      <c r="F337" s="9" t="s">
        <v>60</v>
      </c>
      <c r="G337" s="9" t="s">
        <v>676</v>
      </c>
      <c r="H337" s="29" t="str">
        <f t="shared" si="18"/>
        <v>24</v>
      </c>
    </row>
    <row r="338" spans="1:8" hidden="1" x14ac:dyDescent="0.35">
      <c r="A338" s="15">
        <f t="shared" si="17"/>
        <v>1322</v>
      </c>
      <c r="B338" s="15">
        <v>13</v>
      </c>
      <c r="C338" s="13" t="s">
        <v>702</v>
      </c>
      <c r="D338" s="13" t="s">
        <v>683</v>
      </c>
      <c r="E338" s="13" t="s">
        <v>1070</v>
      </c>
      <c r="F338" s="9" t="s">
        <v>1123</v>
      </c>
      <c r="G338" s="9" t="s">
        <v>684</v>
      </c>
      <c r="H338" s="29" t="str">
        <f t="shared" si="18"/>
        <v>22</v>
      </c>
    </row>
    <row r="339" spans="1:8" hidden="1" x14ac:dyDescent="0.35">
      <c r="A339" s="15">
        <f t="shared" si="17"/>
        <v>1323</v>
      </c>
      <c r="B339" s="15">
        <v>13</v>
      </c>
      <c r="C339" s="13" t="s">
        <v>702</v>
      </c>
      <c r="D339" s="13" t="s">
        <v>677</v>
      </c>
      <c r="E339" s="13" t="s">
        <v>1068</v>
      </c>
      <c r="F339" s="9" t="s">
        <v>60</v>
      </c>
      <c r="G339" s="9" t="s">
        <v>678</v>
      </c>
      <c r="H339" s="29" t="str">
        <f t="shared" si="18"/>
        <v>20</v>
      </c>
    </row>
    <row r="340" spans="1:8" hidden="1" x14ac:dyDescent="0.35">
      <c r="A340" s="15">
        <f t="shared" si="17"/>
        <v>1324</v>
      </c>
      <c r="B340" s="15">
        <v>13</v>
      </c>
      <c r="C340" s="13" t="s">
        <v>702</v>
      </c>
      <c r="D340" s="13" t="s">
        <v>663</v>
      </c>
      <c r="E340" s="13" t="s">
        <v>1069</v>
      </c>
      <c r="F340" s="9" t="s">
        <v>1122</v>
      </c>
      <c r="G340" s="9" t="s">
        <v>664</v>
      </c>
      <c r="H340" s="29" t="str">
        <f t="shared" si="18"/>
        <v>29</v>
      </c>
    </row>
    <row r="341" spans="1:8" hidden="1" x14ac:dyDescent="0.35">
      <c r="A341" s="15">
        <f t="shared" si="17"/>
        <v>1325</v>
      </c>
      <c r="B341" s="15">
        <v>13</v>
      </c>
      <c r="C341" s="13" t="s">
        <v>702</v>
      </c>
      <c r="D341" s="13" t="s">
        <v>647</v>
      </c>
      <c r="E341" s="13" t="s">
        <v>1096</v>
      </c>
      <c r="F341" s="9" t="s">
        <v>60</v>
      </c>
      <c r="G341" s="9" t="s">
        <v>648</v>
      </c>
      <c r="H341" s="29" t="str">
        <f t="shared" si="18"/>
        <v>28</v>
      </c>
    </row>
    <row r="342" spans="1:8" hidden="1" x14ac:dyDescent="0.35">
      <c r="A342" s="15">
        <f t="shared" si="17"/>
        <v>1326</v>
      </c>
      <c r="B342" s="15">
        <v>13</v>
      </c>
      <c r="C342" s="13" t="s">
        <v>702</v>
      </c>
      <c r="D342" s="13" t="s">
        <v>695</v>
      </c>
      <c r="E342" s="13" t="s">
        <v>1068</v>
      </c>
      <c r="F342" s="9" t="s">
        <v>1118</v>
      </c>
      <c r="G342" s="9" t="s">
        <v>696</v>
      </c>
      <c r="H342" s="29" t="str">
        <f t="shared" si="18"/>
        <v>17</v>
      </c>
    </row>
    <row r="343" spans="1:8" hidden="1" x14ac:dyDescent="0.35">
      <c r="A343" s="15">
        <f t="shared" si="17"/>
        <v>1327</v>
      </c>
      <c r="B343" s="15">
        <v>13</v>
      </c>
      <c r="C343" s="13" t="s">
        <v>702</v>
      </c>
      <c r="D343" s="13" t="s">
        <v>679</v>
      </c>
      <c r="E343" s="13" t="s">
        <v>1056</v>
      </c>
      <c r="F343" s="9" t="s">
        <v>1122</v>
      </c>
      <c r="G343" s="9" t="s">
        <v>680</v>
      </c>
      <c r="H343" s="29" t="str">
        <f t="shared" si="18"/>
        <v>21</v>
      </c>
    </row>
    <row r="344" spans="1:8" hidden="1" x14ac:dyDescent="0.35">
      <c r="A344" s="15">
        <f t="shared" si="17"/>
        <v>1328</v>
      </c>
      <c r="B344" s="15">
        <v>13</v>
      </c>
      <c r="C344" s="13" t="s">
        <v>702</v>
      </c>
      <c r="D344" s="13" t="s">
        <v>700</v>
      </c>
      <c r="E344" s="13" t="s">
        <v>1063</v>
      </c>
      <c r="F344" s="9" t="s">
        <v>1117</v>
      </c>
      <c r="G344" s="9" t="s">
        <v>701</v>
      </c>
      <c r="H344" s="29" t="str">
        <f t="shared" si="18"/>
        <v>32</v>
      </c>
    </row>
    <row r="345" spans="1:8" hidden="1" x14ac:dyDescent="0.35">
      <c r="A345" s="15">
        <f t="shared" si="17"/>
        <v>1329</v>
      </c>
      <c r="B345" s="15">
        <v>13</v>
      </c>
      <c r="C345" s="13" t="s">
        <v>702</v>
      </c>
      <c r="D345" s="13" t="s">
        <v>1127</v>
      </c>
      <c r="E345" s="13" t="s">
        <v>1068</v>
      </c>
      <c r="F345" s="9" t="s">
        <v>60</v>
      </c>
      <c r="G345" s="9" t="s">
        <v>697</v>
      </c>
      <c r="H345" s="29" t="str">
        <f t="shared" si="18"/>
        <v>17</v>
      </c>
    </row>
    <row r="346" spans="1:8" hidden="1" x14ac:dyDescent="0.35">
      <c r="A346" s="15">
        <f t="shared" si="17"/>
        <v>1330</v>
      </c>
      <c r="B346" s="15">
        <v>13</v>
      </c>
      <c r="C346" s="13" t="s">
        <v>702</v>
      </c>
      <c r="D346" s="13" t="s">
        <v>643</v>
      </c>
      <c r="E346" s="13" t="s">
        <v>1091</v>
      </c>
      <c r="F346" s="9" t="s">
        <v>1122</v>
      </c>
      <c r="G346" s="9" t="s">
        <v>644</v>
      </c>
      <c r="H346" s="29" t="str">
        <f t="shared" si="18"/>
        <v>27</v>
      </c>
    </row>
    <row r="347" spans="1:8" hidden="1" x14ac:dyDescent="0.35">
      <c r="A347" s="15">
        <v>1401</v>
      </c>
      <c r="B347" s="15">
        <v>14</v>
      </c>
      <c r="C347" s="13" t="s">
        <v>749</v>
      </c>
      <c r="D347" s="13" t="s">
        <v>711</v>
      </c>
      <c r="E347" s="13" t="s">
        <v>1105</v>
      </c>
      <c r="F347" s="9" t="s">
        <v>1117</v>
      </c>
      <c r="G347" s="9" t="s">
        <v>712</v>
      </c>
      <c r="H347" s="29" t="str">
        <f t="shared" si="18"/>
        <v>27</v>
      </c>
    </row>
    <row r="348" spans="1:8" hidden="1" x14ac:dyDescent="0.35">
      <c r="A348" s="15">
        <f>A347+1</f>
        <v>1402</v>
      </c>
      <c r="B348" s="15">
        <v>14</v>
      </c>
      <c r="C348" s="13" t="s">
        <v>749</v>
      </c>
      <c r="D348" s="13" t="s">
        <v>716</v>
      </c>
      <c r="E348" s="13" t="s">
        <v>1059</v>
      </c>
      <c r="F348" s="9" t="s">
        <v>1126</v>
      </c>
      <c r="G348" s="9" t="s">
        <v>717</v>
      </c>
      <c r="H348" s="29" t="str">
        <f t="shared" si="18"/>
        <v>23</v>
      </c>
    </row>
    <row r="349" spans="1:8" hidden="1" x14ac:dyDescent="0.35">
      <c r="A349" s="15">
        <f t="shared" ref="A349:A370" si="19">A348+1</f>
        <v>1403</v>
      </c>
      <c r="B349" s="15">
        <v>14</v>
      </c>
      <c r="C349" s="13" t="s">
        <v>749</v>
      </c>
      <c r="D349" s="13" t="s">
        <v>747</v>
      </c>
      <c r="E349" s="13" t="s">
        <v>1060</v>
      </c>
      <c r="F349" s="9" t="s">
        <v>1117</v>
      </c>
      <c r="G349" s="9" t="s">
        <v>748</v>
      </c>
      <c r="H349" s="29" t="str">
        <f t="shared" si="18"/>
        <v>29</v>
      </c>
    </row>
    <row r="350" spans="1:8" hidden="1" x14ac:dyDescent="0.35">
      <c r="A350" s="15">
        <f t="shared" si="19"/>
        <v>1404</v>
      </c>
      <c r="B350" s="15">
        <v>14</v>
      </c>
      <c r="C350" s="13" t="s">
        <v>749</v>
      </c>
      <c r="D350" s="13" t="s">
        <v>739</v>
      </c>
      <c r="E350" s="13" t="s">
        <v>1068</v>
      </c>
      <c r="F350" s="9" t="s">
        <v>60</v>
      </c>
      <c r="G350" s="9" t="s">
        <v>740</v>
      </c>
      <c r="H350" s="29" t="str">
        <f t="shared" si="18"/>
        <v>19</v>
      </c>
    </row>
    <row r="351" spans="1:8" hidden="1" x14ac:dyDescent="0.35">
      <c r="A351" s="15">
        <f t="shared" si="19"/>
        <v>1405</v>
      </c>
      <c r="B351" s="15">
        <v>14</v>
      </c>
      <c r="C351" s="13" t="s">
        <v>749</v>
      </c>
      <c r="D351" s="13" t="s">
        <v>720</v>
      </c>
      <c r="E351" s="13" t="s">
        <v>1101</v>
      </c>
      <c r="F351" s="9" t="s">
        <v>1118</v>
      </c>
      <c r="G351" s="9" t="s">
        <v>721</v>
      </c>
      <c r="H351" s="29" t="str">
        <f t="shared" si="18"/>
        <v>22</v>
      </c>
    </row>
    <row r="352" spans="1:8" hidden="1" x14ac:dyDescent="0.35">
      <c r="A352" s="15">
        <f t="shared" si="19"/>
        <v>1406</v>
      </c>
      <c r="B352" s="15">
        <v>14</v>
      </c>
      <c r="C352" s="13" t="s">
        <v>749</v>
      </c>
      <c r="D352" s="13" t="s">
        <v>705</v>
      </c>
      <c r="E352" s="13" t="s">
        <v>1096</v>
      </c>
      <c r="F352" s="9" t="s">
        <v>1122</v>
      </c>
      <c r="G352" s="9" t="s">
        <v>706</v>
      </c>
      <c r="H352" s="29" t="str">
        <f t="shared" si="18"/>
        <v>31</v>
      </c>
    </row>
    <row r="353" spans="1:8" hidden="1" x14ac:dyDescent="0.35">
      <c r="A353" s="15">
        <f t="shared" si="19"/>
        <v>1407</v>
      </c>
      <c r="B353" s="15">
        <v>14</v>
      </c>
      <c r="C353" s="13" t="s">
        <v>749</v>
      </c>
      <c r="D353" s="13" t="s">
        <v>709</v>
      </c>
      <c r="E353" s="13" t="s">
        <v>1060</v>
      </c>
      <c r="F353" s="9" t="s">
        <v>1122</v>
      </c>
      <c r="G353" s="9" t="s">
        <v>710</v>
      </c>
      <c r="H353" s="29" t="str">
        <f t="shared" si="18"/>
        <v>26</v>
      </c>
    </row>
    <row r="354" spans="1:8" hidden="1" x14ac:dyDescent="0.35">
      <c r="A354" s="15">
        <f t="shared" si="19"/>
        <v>1408</v>
      </c>
      <c r="B354" s="15">
        <v>14</v>
      </c>
      <c r="C354" s="13" t="s">
        <v>749</v>
      </c>
      <c r="D354" s="13" t="s">
        <v>718</v>
      </c>
      <c r="E354" s="13" t="s">
        <v>1056</v>
      </c>
      <c r="F354" s="9" t="s">
        <v>1122</v>
      </c>
      <c r="G354" s="9" t="s">
        <v>719</v>
      </c>
      <c r="H354" s="29" t="str">
        <f t="shared" si="18"/>
        <v>33</v>
      </c>
    </row>
    <row r="355" spans="1:8" hidden="1" x14ac:dyDescent="0.35">
      <c r="A355" s="15">
        <f t="shared" si="19"/>
        <v>1409</v>
      </c>
      <c r="B355" s="15">
        <v>14</v>
      </c>
      <c r="C355" s="13" t="s">
        <v>749</v>
      </c>
      <c r="D355" s="13" t="s">
        <v>745</v>
      </c>
      <c r="E355" s="13" t="s">
        <v>1097</v>
      </c>
      <c r="F355" s="9" t="s">
        <v>60</v>
      </c>
      <c r="G355" s="9" t="s">
        <v>746</v>
      </c>
      <c r="H355" s="29" t="str">
        <f t="shared" si="18"/>
        <v>18</v>
      </c>
    </row>
    <row r="356" spans="1:8" hidden="1" x14ac:dyDescent="0.35">
      <c r="A356" s="15">
        <f t="shared" si="19"/>
        <v>1410</v>
      </c>
      <c r="B356" s="15">
        <v>14</v>
      </c>
      <c r="C356" s="13" t="s">
        <v>749</v>
      </c>
      <c r="D356" s="13" t="s">
        <v>724</v>
      </c>
      <c r="E356" s="13" t="s">
        <v>1096</v>
      </c>
      <c r="F356" s="9" t="s">
        <v>60</v>
      </c>
      <c r="G356" s="9" t="s">
        <v>725</v>
      </c>
      <c r="H356" s="29" t="str">
        <f t="shared" si="18"/>
        <v>26</v>
      </c>
    </row>
    <row r="357" spans="1:8" hidden="1" x14ac:dyDescent="0.35">
      <c r="A357" s="15">
        <f t="shared" si="19"/>
        <v>1411</v>
      </c>
      <c r="B357" s="15">
        <v>14</v>
      </c>
      <c r="C357" s="13" t="s">
        <v>749</v>
      </c>
      <c r="D357" s="13" t="s">
        <v>730</v>
      </c>
      <c r="E357" s="13" t="s">
        <v>1068</v>
      </c>
      <c r="F357" s="9" t="s">
        <v>60</v>
      </c>
      <c r="G357" s="9" t="s">
        <v>731</v>
      </c>
      <c r="H357" s="29" t="str">
        <f t="shared" si="18"/>
        <v>32</v>
      </c>
    </row>
    <row r="358" spans="1:8" hidden="1" x14ac:dyDescent="0.35">
      <c r="A358" s="15">
        <f t="shared" si="19"/>
        <v>1412</v>
      </c>
      <c r="B358" s="15">
        <v>14</v>
      </c>
      <c r="C358" s="13" t="s">
        <v>749</v>
      </c>
      <c r="D358" s="13" t="s">
        <v>737</v>
      </c>
      <c r="E358" s="13" t="s">
        <v>1091</v>
      </c>
      <c r="F358" s="9" t="s">
        <v>1124</v>
      </c>
      <c r="G358" s="9" t="s">
        <v>738</v>
      </c>
      <c r="H358" s="29" t="str">
        <f t="shared" si="18"/>
        <v>24</v>
      </c>
    </row>
    <row r="359" spans="1:8" hidden="1" x14ac:dyDescent="0.35">
      <c r="A359" s="15">
        <f t="shared" si="19"/>
        <v>1413</v>
      </c>
      <c r="B359" s="15">
        <v>14</v>
      </c>
      <c r="C359" s="13" t="s">
        <v>749</v>
      </c>
      <c r="D359" s="13" t="s">
        <v>735</v>
      </c>
      <c r="E359" s="13" t="s">
        <v>1068</v>
      </c>
      <c r="F359" s="9" t="s">
        <v>1122</v>
      </c>
      <c r="G359" s="9" t="s">
        <v>736</v>
      </c>
      <c r="H359" s="29" t="str">
        <f t="shared" si="18"/>
        <v>20</v>
      </c>
    </row>
    <row r="360" spans="1:8" hidden="1" x14ac:dyDescent="0.35">
      <c r="A360" s="15">
        <f t="shared" si="19"/>
        <v>1414</v>
      </c>
      <c r="B360" s="15">
        <v>14</v>
      </c>
      <c r="C360" s="13" t="s">
        <v>749</v>
      </c>
      <c r="D360" s="13" t="s">
        <v>715</v>
      </c>
      <c r="E360" s="13" t="s">
        <v>1070</v>
      </c>
      <c r="F360" s="9" t="s">
        <v>60</v>
      </c>
      <c r="G360" s="9" t="s">
        <v>162</v>
      </c>
      <c r="H360" s="29" t="str">
        <f t="shared" si="18"/>
        <v>19</v>
      </c>
    </row>
    <row r="361" spans="1:8" hidden="1" x14ac:dyDescent="0.35">
      <c r="A361" s="15">
        <f t="shared" si="19"/>
        <v>1415</v>
      </c>
      <c r="B361" s="15">
        <v>14</v>
      </c>
      <c r="C361" s="13" t="s">
        <v>749</v>
      </c>
      <c r="D361" s="13" t="s">
        <v>707</v>
      </c>
      <c r="E361" s="13" t="s">
        <v>1068</v>
      </c>
      <c r="F361" s="9" t="s">
        <v>60</v>
      </c>
      <c r="G361" s="9" t="s">
        <v>708</v>
      </c>
      <c r="H361" s="29" t="str">
        <f t="shared" si="18"/>
        <v>30</v>
      </c>
    </row>
    <row r="362" spans="1:8" hidden="1" x14ac:dyDescent="0.35">
      <c r="A362" s="15">
        <f t="shared" si="19"/>
        <v>1416</v>
      </c>
      <c r="B362" s="15">
        <v>14</v>
      </c>
      <c r="C362" s="13" t="s">
        <v>749</v>
      </c>
      <c r="D362" s="13" t="s">
        <v>728</v>
      </c>
      <c r="E362" s="13" t="s">
        <v>1109</v>
      </c>
      <c r="F362" s="9" t="s">
        <v>1122</v>
      </c>
      <c r="G362" s="9" t="s">
        <v>729</v>
      </c>
      <c r="H362" s="29" t="str">
        <f t="shared" si="18"/>
        <v>24</v>
      </c>
    </row>
    <row r="363" spans="1:8" hidden="1" x14ac:dyDescent="0.35">
      <c r="A363" s="15">
        <f t="shared" si="19"/>
        <v>1417</v>
      </c>
      <c r="B363" s="15">
        <v>14</v>
      </c>
      <c r="C363" s="13" t="s">
        <v>749</v>
      </c>
      <c r="D363" s="13" t="s">
        <v>726</v>
      </c>
      <c r="E363" s="13" t="s">
        <v>1068</v>
      </c>
      <c r="F363" s="9" t="s">
        <v>1122</v>
      </c>
      <c r="G363" s="9" t="s">
        <v>727</v>
      </c>
      <c r="H363" s="29" t="str">
        <f t="shared" si="18"/>
        <v>26</v>
      </c>
    </row>
    <row r="364" spans="1:8" hidden="1" x14ac:dyDescent="0.35">
      <c r="A364" s="15">
        <f t="shared" si="19"/>
        <v>1418</v>
      </c>
      <c r="B364" s="15">
        <v>14</v>
      </c>
      <c r="C364" s="13" t="s">
        <v>749</v>
      </c>
      <c r="D364" s="13" t="s">
        <v>722</v>
      </c>
      <c r="E364" s="13" t="s">
        <v>1056</v>
      </c>
      <c r="F364" s="9" t="s">
        <v>1123</v>
      </c>
      <c r="G364" s="9" t="s">
        <v>723</v>
      </c>
      <c r="H364" s="29" t="str">
        <f t="shared" si="18"/>
        <v>26</v>
      </c>
    </row>
    <row r="365" spans="1:8" hidden="1" x14ac:dyDescent="0.35">
      <c r="A365" s="15">
        <f t="shared" si="19"/>
        <v>1419</v>
      </c>
      <c r="B365" s="15">
        <v>14</v>
      </c>
      <c r="C365" s="13" t="s">
        <v>749</v>
      </c>
      <c r="D365" s="13" t="s">
        <v>703</v>
      </c>
      <c r="E365" s="13" t="s">
        <v>1091</v>
      </c>
      <c r="F365" s="9" t="s">
        <v>60</v>
      </c>
      <c r="G365" s="9" t="s">
        <v>704</v>
      </c>
      <c r="H365" s="29" t="str">
        <f t="shared" si="18"/>
        <v>26</v>
      </c>
    </row>
    <row r="366" spans="1:8" hidden="1" x14ac:dyDescent="0.35">
      <c r="A366" s="15">
        <f t="shared" si="19"/>
        <v>1420</v>
      </c>
      <c r="B366" s="15">
        <v>14</v>
      </c>
      <c r="C366" s="13" t="s">
        <v>749</v>
      </c>
      <c r="D366" s="13" t="s">
        <v>732</v>
      </c>
      <c r="E366" s="13" t="s">
        <v>1086</v>
      </c>
      <c r="F366" s="9" t="s">
        <v>60</v>
      </c>
      <c r="G366" s="9" t="s">
        <v>312</v>
      </c>
      <c r="H366" s="29" t="str">
        <f t="shared" si="18"/>
        <v>27</v>
      </c>
    </row>
    <row r="367" spans="1:8" hidden="1" x14ac:dyDescent="0.35">
      <c r="A367" s="15">
        <f t="shared" si="19"/>
        <v>1421</v>
      </c>
      <c r="B367" s="15">
        <v>14</v>
      </c>
      <c r="C367" s="13" t="s">
        <v>749</v>
      </c>
      <c r="D367" s="13" t="s">
        <v>713</v>
      </c>
      <c r="E367" s="13" t="s">
        <v>1064</v>
      </c>
      <c r="F367" s="9" t="s">
        <v>60</v>
      </c>
      <c r="G367" s="9" t="s">
        <v>714</v>
      </c>
      <c r="H367" s="29" t="str">
        <f t="shared" si="18"/>
        <v>20</v>
      </c>
    </row>
    <row r="368" spans="1:8" hidden="1" x14ac:dyDescent="0.35">
      <c r="A368" s="15">
        <f t="shared" si="19"/>
        <v>1422</v>
      </c>
      <c r="B368" s="15">
        <v>14</v>
      </c>
      <c r="C368" s="13" t="s">
        <v>749</v>
      </c>
      <c r="D368" s="13" t="s">
        <v>733</v>
      </c>
      <c r="E368" s="13" t="s">
        <v>1053</v>
      </c>
      <c r="F368" s="9" t="s">
        <v>1117</v>
      </c>
      <c r="G368" s="9" t="s">
        <v>734</v>
      </c>
      <c r="H368" s="29" t="str">
        <f t="shared" si="18"/>
        <v>23</v>
      </c>
    </row>
    <row r="369" spans="1:8" hidden="1" x14ac:dyDescent="0.35">
      <c r="A369" s="15">
        <f t="shared" si="19"/>
        <v>1423</v>
      </c>
      <c r="B369" s="15">
        <v>14</v>
      </c>
      <c r="C369" s="13" t="s">
        <v>749</v>
      </c>
      <c r="D369" s="13" t="s">
        <v>743</v>
      </c>
      <c r="E369" s="13" t="s">
        <v>1068</v>
      </c>
      <c r="F369" s="9" t="s">
        <v>1117</v>
      </c>
      <c r="G369" s="9" t="s">
        <v>744</v>
      </c>
      <c r="H369" s="29" t="str">
        <f t="shared" si="18"/>
        <v>39</v>
      </c>
    </row>
    <row r="370" spans="1:8" hidden="1" x14ac:dyDescent="0.35">
      <c r="A370" s="15">
        <f t="shared" si="19"/>
        <v>1424</v>
      </c>
      <c r="B370" s="15">
        <v>14</v>
      </c>
      <c r="C370" s="13" t="s">
        <v>749</v>
      </c>
      <c r="D370" s="13" t="s">
        <v>741</v>
      </c>
      <c r="E370" s="13" t="s">
        <v>1068</v>
      </c>
      <c r="F370" s="9" t="s">
        <v>60</v>
      </c>
      <c r="G370" s="9" t="s">
        <v>742</v>
      </c>
      <c r="H370" s="29" t="str">
        <f t="shared" si="18"/>
        <v>20</v>
      </c>
    </row>
    <row r="371" spans="1:8" hidden="1" x14ac:dyDescent="0.35">
      <c r="A371" s="15">
        <v>1501</v>
      </c>
      <c r="B371" s="15">
        <v>15</v>
      </c>
      <c r="C371" s="13" t="s">
        <v>796</v>
      </c>
      <c r="D371" s="13" t="s">
        <v>792</v>
      </c>
      <c r="E371" s="13" t="s">
        <v>1068</v>
      </c>
      <c r="F371" s="9" t="s">
        <v>1117</v>
      </c>
      <c r="G371" s="9" t="s">
        <v>793</v>
      </c>
      <c r="H371" s="29" t="str">
        <f t="shared" si="18"/>
        <v>27</v>
      </c>
    </row>
    <row r="372" spans="1:8" hidden="1" x14ac:dyDescent="0.35">
      <c r="A372" s="15">
        <f>A371+1</f>
        <v>1502</v>
      </c>
      <c r="B372" s="15">
        <v>15</v>
      </c>
      <c r="C372" s="13" t="s">
        <v>796</v>
      </c>
      <c r="D372" s="13" t="s">
        <v>772</v>
      </c>
      <c r="E372" s="13" t="s">
        <v>1100</v>
      </c>
      <c r="F372" s="9" t="s">
        <v>1124</v>
      </c>
      <c r="G372" s="9" t="s">
        <v>773</v>
      </c>
      <c r="H372" s="29" t="str">
        <f t="shared" si="18"/>
        <v>23</v>
      </c>
    </row>
    <row r="373" spans="1:8" hidden="1" x14ac:dyDescent="0.35">
      <c r="A373" s="15">
        <f t="shared" ref="A373:A394" si="20">A372+1</f>
        <v>1503</v>
      </c>
      <c r="B373" s="15">
        <v>15</v>
      </c>
      <c r="C373" s="13" t="s">
        <v>796</v>
      </c>
      <c r="D373" s="13" t="s">
        <v>771</v>
      </c>
      <c r="E373" s="13" t="s">
        <v>1068</v>
      </c>
      <c r="F373" s="9" t="s">
        <v>1118</v>
      </c>
      <c r="G373" s="9" t="s">
        <v>203</v>
      </c>
      <c r="H373" s="29" t="str">
        <f t="shared" si="18"/>
        <v>24</v>
      </c>
    </row>
    <row r="374" spans="1:8" hidden="1" x14ac:dyDescent="0.35">
      <c r="A374" s="15">
        <f t="shared" si="20"/>
        <v>1504</v>
      </c>
      <c r="B374" s="15">
        <v>15</v>
      </c>
      <c r="C374" s="13" t="s">
        <v>796</v>
      </c>
      <c r="D374" s="13" t="s">
        <v>756</v>
      </c>
      <c r="E374" s="13" t="s">
        <v>1056</v>
      </c>
      <c r="F374" s="9" t="s">
        <v>1122</v>
      </c>
      <c r="G374" s="9" t="s">
        <v>757</v>
      </c>
      <c r="H374" s="29" t="str">
        <f t="shared" si="18"/>
        <v>27</v>
      </c>
    </row>
    <row r="375" spans="1:8" hidden="1" x14ac:dyDescent="0.35">
      <c r="A375" s="15">
        <f t="shared" si="20"/>
        <v>1505</v>
      </c>
      <c r="B375" s="15">
        <v>15</v>
      </c>
      <c r="C375" s="13" t="s">
        <v>796</v>
      </c>
      <c r="D375" s="13" t="s">
        <v>750</v>
      </c>
      <c r="E375" s="13" t="s">
        <v>1068</v>
      </c>
      <c r="F375" s="9" t="s">
        <v>60</v>
      </c>
      <c r="G375" s="9" t="s">
        <v>751</v>
      </c>
      <c r="H375" s="29" t="str">
        <f t="shared" si="18"/>
        <v>33</v>
      </c>
    </row>
    <row r="376" spans="1:8" hidden="1" x14ac:dyDescent="0.35">
      <c r="A376" s="15">
        <f t="shared" si="20"/>
        <v>1506</v>
      </c>
      <c r="B376" s="15">
        <v>15</v>
      </c>
      <c r="C376" s="13" t="s">
        <v>796</v>
      </c>
      <c r="D376" s="13" t="s">
        <v>790</v>
      </c>
      <c r="E376" s="13" t="s">
        <v>1100</v>
      </c>
      <c r="F376" s="9" t="s">
        <v>60</v>
      </c>
      <c r="G376" s="9" t="s">
        <v>791</v>
      </c>
      <c r="H376" s="29" t="str">
        <f t="shared" si="18"/>
        <v>31</v>
      </c>
    </row>
    <row r="377" spans="1:8" hidden="1" x14ac:dyDescent="0.35">
      <c r="A377" s="15">
        <f t="shared" si="20"/>
        <v>1507</v>
      </c>
      <c r="B377" s="15">
        <v>15</v>
      </c>
      <c r="C377" s="13" t="s">
        <v>796</v>
      </c>
      <c r="D377" s="13" t="s">
        <v>764</v>
      </c>
      <c r="E377" s="13" t="s">
        <v>1058</v>
      </c>
      <c r="F377" s="9" t="s">
        <v>60</v>
      </c>
      <c r="G377" s="9" t="s">
        <v>765</v>
      </c>
      <c r="H377" s="29" t="str">
        <f t="shared" si="18"/>
        <v>33</v>
      </c>
    </row>
    <row r="378" spans="1:8" hidden="1" x14ac:dyDescent="0.35">
      <c r="A378" s="15">
        <f t="shared" si="20"/>
        <v>1508</v>
      </c>
      <c r="B378" s="15">
        <v>15</v>
      </c>
      <c r="C378" s="13" t="s">
        <v>796</v>
      </c>
      <c r="D378" s="13" t="s">
        <v>774</v>
      </c>
      <c r="E378" s="13" t="s">
        <v>1068</v>
      </c>
      <c r="F378" s="9" t="s">
        <v>1124</v>
      </c>
      <c r="G378" s="9" t="s">
        <v>775</v>
      </c>
      <c r="H378" s="29" t="str">
        <f t="shared" si="18"/>
        <v>27</v>
      </c>
    </row>
    <row r="379" spans="1:8" hidden="1" x14ac:dyDescent="0.35">
      <c r="A379" s="15">
        <f t="shared" si="20"/>
        <v>1509</v>
      </c>
      <c r="B379" s="15">
        <v>15</v>
      </c>
      <c r="C379" s="13" t="s">
        <v>796</v>
      </c>
      <c r="D379" s="13" t="s">
        <v>768</v>
      </c>
      <c r="E379" s="13" t="s">
        <v>1068</v>
      </c>
      <c r="F379" s="9" t="s">
        <v>1124</v>
      </c>
      <c r="G379" s="9" t="s">
        <v>156</v>
      </c>
      <c r="H379" s="29" t="str">
        <f t="shared" si="18"/>
        <v>30</v>
      </c>
    </row>
    <row r="380" spans="1:8" hidden="1" x14ac:dyDescent="0.35">
      <c r="A380" s="15">
        <f t="shared" si="20"/>
        <v>1510</v>
      </c>
      <c r="B380" s="15">
        <v>15</v>
      </c>
      <c r="C380" s="13" t="s">
        <v>796</v>
      </c>
      <c r="D380" s="13" t="s">
        <v>786</v>
      </c>
      <c r="E380" s="13" t="s">
        <v>1068</v>
      </c>
      <c r="F380" s="9" t="s">
        <v>1122</v>
      </c>
      <c r="G380" s="9" t="s">
        <v>787</v>
      </c>
      <c r="H380" s="29" t="str">
        <f t="shared" si="18"/>
        <v>24</v>
      </c>
    </row>
    <row r="381" spans="1:8" hidden="1" x14ac:dyDescent="0.35">
      <c r="A381" s="15">
        <f t="shared" si="20"/>
        <v>1511</v>
      </c>
      <c r="B381" s="15">
        <v>15</v>
      </c>
      <c r="C381" s="13" t="s">
        <v>796</v>
      </c>
      <c r="D381" s="13" t="s">
        <v>788</v>
      </c>
      <c r="E381" s="13" t="s">
        <v>1068</v>
      </c>
      <c r="F381" s="9" t="s">
        <v>60</v>
      </c>
      <c r="G381" s="9" t="s">
        <v>789</v>
      </c>
      <c r="H381" s="29" t="str">
        <f t="shared" si="18"/>
        <v>31</v>
      </c>
    </row>
    <row r="382" spans="1:8" hidden="1" x14ac:dyDescent="0.35">
      <c r="A382" s="15">
        <f t="shared" si="20"/>
        <v>1512</v>
      </c>
      <c r="B382" s="15">
        <v>15</v>
      </c>
      <c r="C382" s="13" t="s">
        <v>796</v>
      </c>
      <c r="D382" s="13" t="s">
        <v>784</v>
      </c>
      <c r="E382" s="13" t="s">
        <v>1068</v>
      </c>
      <c r="F382" s="9" t="s">
        <v>1122</v>
      </c>
      <c r="G382" s="9" t="s">
        <v>785</v>
      </c>
      <c r="H382" s="29" t="str">
        <f t="shared" si="18"/>
        <v>26</v>
      </c>
    </row>
    <row r="383" spans="1:8" hidden="1" x14ac:dyDescent="0.35">
      <c r="A383" s="15">
        <f t="shared" si="20"/>
        <v>1513</v>
      </c>
      <c r="B383" s="15">
        <v>15</v>
      </c>
      <c r="C383" s="13" t="s">
        <v>796</v>
      </c>
      <c r="D383" s="13" t="s">
        <v>762</v>
      </c>
      <c r="E383" s="13" t="s">
        <v>1056</v>
      </c>
      <c r="F383" s="9" t="s">
        <v>1122</v>
      </c>
      <c r="G383" s="9" t="s">
        <v>763</v>
      </c>
      <c r="H383" s="29" t="str">
        <f t="shared" si="18"/>
        <v>29</v>
      </c>
    </row>
    <row r="384" spans="1:8" hidden="1" x14ac:dyDescent="0.35">
      <c r="A384" s="15">
        <f t="shared" si="20"/>
        <v>1514</v>
      </c>
      <c r="B384" s="15">
        <v>15</v>
      </c>
      <c r="C384" s="13" t="s">
        <v>796</v>
      </c>
      <c r="D384" s="13" t="s">
        <v>760</v>
      </c>
      <c r="E384" s="13" t="s">
        <v>1068</v>
      </c>
      <c r="F384" s="9" t="s">
        <v>60</v>
      </c>
      <c r="G384" s="9" t="s">
        <v>761</v>
      </c>
      <c r="H384" s="29" t="str">
        <f t="shared" si="18"/>
        <v>35</v>
      </c>
    </row>
    <row r="385" spans="1:8" hidden="1" x14ac:dyDescent="0.35">
      <c r="A385" s="15">
        <f t="shared" si="20"/>
        <v>1515</v>
      </c>
      <c r="B385" s="15">
        <v>15</v>
      </c>
      <c r="C385" s="13" t="s">
        <v>796</v>
      </c>
      <c r="D385" s="13" t="s">
        <v>782</v>
      </c>
      <c r="E385" s="13" t="s">
        <v>1068</v>
      </c>
      <c r="F385" s="9" t="s">
        <v>60</v>
      </c>
      <c r="G385" s="9" t="s">
        <v>783</v>
      </c>
      <c r="H385" s="29" t="str">
        <f t="shared" si="18"/>
        <v>21</v>
      </c>
    </row>
    <row r="386" spans="1:8" hidden="1" x14ac:dyDescent="0.35">
      <c r="A386" s="15">
        <f t="shared" si="20"/>
        <v>1516</v>
      </c>
      <c r="B386" s="15">
        <v>15</v>
      </c>
      <c r="C386" s="13" t="s">
        <v>796</v>
      </c>
      <c r="D386" s="13" t="s">
        <v>778</v>
      </c>
      <c r="E386" s="13" t="s">
        <v>1068</v>
      </c>
      <c r="F386" s="9" t="s">
        <v>1122</v>
      </c>
      <c r="G386" s="9" t="s">
        <v>779</v>
      </c>
      <c r="H386" s="29" t="str">
        <f t="shared" ref="H386:H449" si="21">LEFT(G386,2)</f>
        <v>19</v>
      </c>
    </row>
    <row r="387" spans="1:8" hidden="1" x14ac:dyDescent="0.35">
      <c r="A387" s="15">
        <f t="shared" si="20"/>
        <v>1517</v>
      </c>
      <c r="B387" s="15">
        <v>15</v>
      </c>
      <c r="C387" s="13" t="s">
        <v>796</v>
      </c>
      <c r="D387" s="13" t="s">
        <v>776</v>
      </c>
      <c r="E387" s="13" t="s">
        <v>1063</v>
      </c>
      <c r="F387" s="9" t="s">
        <v>60</v>
      </c>
      <c r="G387" s="9" t="s">
        <v>777</v>
      </c>
      <c r="H387" s="29" t="str">
        <f t="shared" si="21"/>
        <v>24</v>
      </c>
    </row>
    <row r="388" spans="1:8" hidden="1" x14ac:dyDescent="0.35">
      <c r="A388" s="15">
        <f t="shared" si="20"/>
        <v>1518</v>
      </c>
      <c r="B388" s="15">
        <v>15</v>
      </c>
      <c r="C388" s="13" t="s">
        <v>796</v>
      </c>
      <c r="D388" s="13" t="s">
        <v>752</v>
      </c>
      <c r="E388" s="13" t="s">
        <v>1068</v>
      </c>
      <c r="F388" s="9" t="s">
        <v>1117</v>
      </c>
      <c r="G388" s="9" t="s">
        <v>753</v>
      </c>
      <c r="H388" s="29" t="str">
        <f t="shared" si="21"/>
        <v>33</v>
      </c>
    </row>
    <row r="389" spans="1:8" hidden="1" x14ac:dyDescent="0.35">
      <c r="A389" s="15">
        <f t="shared" si="20"/>
        <v>1519</v>
      </c>
      <c r="B389" s="15">
        <v>15</v>
      </c>
      <c r="C389" s="13" t="s">
        <v>796</v>
      </c>
      <c r="D389" s="13" t="s">
        <v>769</v>
      </c>
      <c r="E389" s="13" t="s">
        <v>1063</v>
      </c>
      <c r="F389" s="9" t="s">
        <v>1118</v>
      </c>
      <c r="G389" s="9" t="s">
        <v>770</v>
      </c>
      <c r="H389" s="29" t="str">
        <f t="shared" si="21"/>
        <v>23</v>
      </c>
    </row>
    <row r="390" spans="1:8" hidden="1" x14ac:dyDescent="0.35">
      <c r="A390" s="15">
        <f t="shared" si="20"/>
        <v>1520</v>
      </c>
      <c r="B390" s="15">
        <v>15</v>
      </c>
      <c r="C390" s="13" t="s">
        <v>796</v>
      </c>
      <c r="D390" s="13" t="s">
        <v>794</v>
      </c>
      <c r="E390" s="13" t="s">
        <v>1085</v>
      </c>
      <c r="F390" s="9" t="s">
        <v>1122</v>
      </c>
      <c r="G390" s="9" t="s">
        <v>795</v>
      </c>
      <c r="H390" s="29" t="str">
        <f t="shared" si="21"/>
        <v>18</v>
      </c>
    </row>
    <row r="391" spans="1:8" hidden="1" x14ac:dyDescent="0.35">
      <c r="A391" s="15">
        <f t="shared" si="20"/>
        <v>1521</v>
      </c>
      <c r="B391" s="15">
        <v>15</v>
      </c>
      <c r="C391" s="13" t="s">
        <v>796</v>
      </c>
      <c r="D391" s="13" t="s">
        <v>754</v>
      </c>
      <c r="E391" s="13" t="s">
        <v>1082</v>
      </c>
      <c r="F391" s="9" t="s">
        <v>1122</v>
      </c>
      <c r="G391" s="9" t="s">
        <v>755</v>
      </c>
      <c r="H391" s="29" t="str">
        <f t="shared" si="21"/>
        <v>25</v>
      </c>
    </row>
    <row r="392" spans="1:8" hidden="1" x14ac:dyDescent="0.35">
      <c r="A392" s="15">
        <f t="shared" si="20"/>
        <v>1522</v>
      </c>
      <c r="B392" s="15">
        <v>15</v>
      </c>
      <c r="C392" s="13" t="s">
        <v>796</v>
      </c>
      <c r="D392" s="13" t="s">
        <v>766</v>
      </c>
      <c r="E392" s="13" t="s">
        <v>1091</v>
      </c>
      <c r="F392" s="9" t="s">
        <v>60</v>
      </c>
      <c r="G392" s="9" t="s">
        <v>767</v>
      </c>
      <c r="H392" s="29" t="str">
        <f t="shared" si="21"/>
        <v>25</v>
      </c>
    </row>
    <row r="393" spans="1:8" hidden="1" x14ac:dyDescent="0.35">
      <c r="A393" s="15">
        <f t="shared" si="20"/>
        <v>1523</v>
      </c>
      <c r="B393" s="15">
        <v>15</v>
      </c>
      <c r="C393" s="13" t="s">
        <v>796</v>
      </c>
      <c r="D393" s="13" t="s">
        <v>758</v>
      </c>
      <c r="E393" s="13" t="s">
        <v>1068</v>
      </c>
      <c r="F393" s="9" t="s">
        <v>60</v>
      </c>
      <c r="G393" s="9" t="s">
        <v>759</v>
      </c>
      <c r="H393" s="29" t="str">
        <f t="shared" si="21"/>
        <v>22</v>
      </c>
    </row>
    <row r="394" spans="1:8" hidden="1" x14ac:dyDescent="0.35">
      <c r="A394" s="15">
        <f t="shared" si="20"/>
        <v>1524</v>
      </c>
      <c r="B394" s="15">
        <v>15</v>
      </c>
      <c r="C394" s="13" t="s">
        <v>796</v>
      </c>
      <c r="D394" s="13" t="s">
        <v>780</v>
      </c>
      <c r="E394" s="13" t="s">
        <v>1064</v>
      </c>
      <c r="F394" s="9" t="s">
        <v>1118</v>
      </c>
      <c r="G394" s="9" t="s">
        <v>781</v>
      </c>
      <c r="H394" s="29" t="str">
        <f t="shared" si="21"/>
        <v>22</v>
      </c>
    </row>
    <row r="395" spans="1:8" hidden="1" x14ac:dyDescent="0.35">
      <c r="A395" s="15">
        <v>1601</v>
      </c>
      <c r="B395" s="15">
        <v>16</v>
      </c>
      <c r="C395" s="13" t="s">
        <v>854</v>
      </c>
      <c r="D395" s="13" t="s">
        <v>850</v>
      </c>
      <c r="E395" s="13" t="s">
        <v>1099</v>
      </c>
      <c r="F395" s="9" t="s">
        <v>1117</v>
      </c>
      <c r="G395" s="9" t="s">
        <v>851</v>
      </c>
      <c r="H395" s="29" t="str">
        <f t="shared" si="21"/>
        <v>29</v>
      </c>
    </row>
    <row r="396" spans="1:8" hidden="1" x14ac:dyDescent="0.35">
      <c r="A396" s="15">
        <f>A395+1</f>
        <v>1602</v>
      </c>
      <c r="B396" s="15">
        <v>16</v>
      </c>
      <c r="C396" s="13" t="s">
        <v>854</v>
      </c>
      <c r="D396" s="13" t="s">
        <v>838</v>
      </c>
      <c r="E396" s="13" t="s">
        <v>1070</v>
      </c>
      <c r="F396" s="9" t="s">
        <v>1118</v>
      </c>
      <c r="G396" s="9" t="s">
        <v>839</v>
      </c>
      <c r="H396" s="29" t="str">
        <f t="shared" si="21"/>
        <v>23</v>
      </c>
    </row>
    <row r="397" spans="1:8" hidden="1" x14ac:dyDescent="0.35">
      <c r="A397" s="15">
        <f t="shared" ref="A397:A423" si="22">A396+1</f>
        <v>1603</v>
      </c>
      <c r="B397" s="15">
        <v>16</v>
      </c>
      <c r="C397" s="13" t="s">
        <v>854</v>
      </c>
      <c r="D397" s="13" t="s">
        <v>810</v>
      </c>
      <c r="E397" s="13" t="s">
        <v>1068</v>
      </c>
      <c r="F397" s="9" t="s">
        <v>1118</v>
      </c>
      <c r="G397" s="9" t="s">
        <v>811</v>
      </c>
      <c r="H397" s="29" t="str">
        <f t="shared" si="21"/>
        <v>24</v>
      </c>
    </row>
    <row r="398" spans="1:8" hidden="1" x14ac:dyDescent="0.35">
      <c r="A398" s="15">
        <f t="shared" si="22"/>
        <v>1604</v>
      </c>
      <c r="B398" s="15">
        <v>16</v>
      </c>
      <c r="C398" s="13" t="s">
        <v>854</v>
      </c>
      <c r="D398" s="13" t="s">
        <v>805</v>
      </c>
      <c r="E398" s="13" t="s">
        <v>1093</v>
      </c>
      <c r="F398" s="9" t="s">
        <v>1118</v>
      </c>
      <c r="G398" s="9" t="s">
        <v>806</v>
      </c>
      <c r="H398" s="29" t="str">
        <f t="shared" si="21"/>
        <v>33</v>
      </c>
    </row>
    <row r="399" spans="1:8" hidden="1" x14ac:dyDescent="0.35">
      <c r="A399" s="15">
        <f t="shared" si="22"/>
        <v>1605</v>
      </c>
      <c r="B399" s="15">
        <v>16</v>
      </c>
      <c r="C399" s="13" t="s">
        <v>854</v>
      </c>
      <c r="D399" s="13" t="s">
        <v>807</v>
      </c>
      <c r="E399" s="13" t="s">
        <v>1058</v>
      </c>
      <c r="F399" s="9" t="s">
        <v>1118</v>
      </c>
      <c r="G399" s="9" t="s">
        <v>597</v>
      </c>
      <c r="H399" s="29" t="str">
        <f t="shared" si="21"/>
        <v>24</v>
      </c>
    </row>
    <row r="400" spans="1:8" hidden="1" x14ac:dyDescent="0.35">
      <c r="A400" s="15">
        <f t="shared" si="22"/>
        <v>1606</v>
      </c>
      <c r="B400" s="15">
        <v>16</v>
      </c>
      <c r="C400" s="13" t="s">
        <v>854</v>
      </c>
      <c r="D400" s="13" t="s">
        <v>822</v>
      </c>
      <c r="E400" s="13" t="s">
        <v>1070</v>
      </c>
      <c r="F400" s="9" t="s">
        <v>1124</v>
      </c>
      <c r="G400" s="9" t="s">
        <v>823</v>
      </c>
      <c r="H400" s="29" t="str">
        <f t="shared" si="21"/>
        <v>23</v>
      </c>
    </row>
    <row r="401" spans="1:8" hidden="1" x14ac:dyDescent="0.35">
      <c r="A401" s="15">
        <f t="shared" si="22"/>
        <v>1607</v>
      </c>
      <c r="B401" s="15">
        <v>16</v>
      </c>
      <c r="C401" s="13" t="s">
        <v>854</v>
      </c>
      <c r="D401" s="13" t="s">
        <v>832</v>
      </c>
      <c r="E401" s="13" t="s">
        <v>1056</v>
      </c>
      <c r="F401" s="9" t="s">
        <v>1122</v>
      </c>
      <c r="G401" s="9" t="s">
        <v>833</v>
      </c>
      <c r="H401" s="29" t="str">
        <f t="shared" si="21"/>
        <v>27</v>
      </c>
    </row>
    <row r="402" spans="1:8" hidden="1" x14ac:dyDescent="0.35">
      <c r="A402" s="15">
        <f t="shared" si="22"/>
        <v>1608</v>
      </c>
      <c r="B402" s="15">
        <v>16</v>
      </c>
      <c r="C402" s="13" t="s">
        <v>854</v>
      </c>
      <c r="D402" s="13" t="s">
        <v>797</v>
      </c>
      <c r="E402" s="13" t="s">
        <v>1068</v>
      </c>
      <c r="F402" s="9" t="s">
        <v>1122</v>
      </c>
      <c r="G402" s="9" t="s">
        <v>798</v>
      </c>
      <c r="H402" s="29" t="str">
        <f t="shared" si="21"/>
        <v>22</v>
      </c>
    </row>
    <row r="403" spans="1:8" hidden="1" x14ac:dyDescent="0.35">
      <c r="A403" s="15">
        <f t="shared" si="22"/>
        <v>1609</v>
      </c>
      <c r="B403" s="15">
        <v>16</v>
      </c>
      <c r="C403" s="13" t="s">
        <v>854</v>
      </c>
      <c r="D403" s="13" t="s">
        <v>812</v>
      </c>
      <c r="E403" s="13" t="s">
        <v>1059</v>
      </c>
      <c r="F403" s="9" t="s">
        <v>1122</v>
      </c>
      <c r="G403" s="9" t="s">
        <v>813</v>
      </c>
      <c r="H403" s="29" t="str">
        <f t="shared" si="21"/>
        <v>27</v>
      </c>
    </row>
    <row r="404" spans="1:8" hidden="1" x14ac:dyDescent="0.35">
      <c r="A404" s="15">
        <f t="shared" si="22"/>
        <v>1610</v>
      </c>
      <c r="B404" s="15">
        <v>16</v>
      </c>
      <c r="C404" s="13" t="s">
        <v>854</v>
      </c>
      <c r="D404" s="13" t="s">
        <v>836</v>
      </c>
      <c r="E404" s="13" t="s">
        <v>1056</v>
      </c>
      <c r="F404" s="9" t="s">
        <v>1124</v>
      </c>
      <c r="G404" s="9" t="s">
        <v>837</v>
      </c>
      <c r="H404" s="29" t="str">
        <f t="shared" si="21"/>
        <v>24</v>
      </c>
    </row>
    <row r="405" spans="1:8" hidden="1" x14ac:dyDescent="0.35">
      <c r="A405" s="15">
        <f t="shared" si="22"/>
        <v>1611</v>
      </c>
      <c r="B405" s="15">
        <v>16</v>
      </c>
      <c r="C405" s="13" t="s">
        <v>854</v>
      </c>
      <c r="D405" s="13" t="s">
        <v>830</v>
      </c>
      <c r="E405" s="13" t="s">
        <v>1056</v>
      </c>
      <c r="F405" s="9" t="s">
        <v>60</v>
      </c>
      <c r="G405" s="9" t="s">
        <v>831</v>
      </c>
      <c r="H405" s="29" t="str">
        <f t="shared" si="21"/>
        <v>20</v>
      </c>
    </row>
    <row r="406" spans="1:8" hidden="1" x14ac:dyDescent="0.35">
      <c r="A406" s="15">
        <f t="shared" si="22"/>
        <v>1612</v>
      </c>
      <c r="B406" s="15">
        <v>16</v>
      </c>
      <c r="C406" s="13" t="s">
        <v>854</v>
      </c>
      <c r="D406" s="13" t="s">
        <v>826</v>
      </c>
      <c r="E406" s="13" t="s">
        <v>1068</v>
      </c>
      <c r="F406" s="9" t="s">
        <v>1123</v>
      </c>
      <c r="G406" s="9" t="s">
        <v>827</v>
      </c>
      <c r="H406" s="29" t="str">
        <f t="shared" si="21"/>
        <v>22</v>
      </c>
    </row>
    <row r="407" spans="1:8" hidden="1" x14ac:dyDescent="0.35">
      <c r="A407" s="15">
        <f t="shared" si="22"/>
        <v>1613</v>
      </c>
      <c r="B407" s="15">
        <v>16</v>
      </c>
      <c r="C407" s="13" t="s">
        <v>854</v>
      </c>
      <c r="D407" s="13" t="s">
        <v>852</v>
      </c>
      <c r="E407" s="13" t="s">
        <v>1056</v>
      </c>
      <c r="F407" s="9" t="s">
        <v>1117</v>
      </c>
      <c r="G407" s="9" t="s">
        <v>853</v>
      </c>
      <c r="H407" s="29" t="str">
        <f t="shared" si="21"/>
        <v>29</v>
      </c>
    </row>
    <row r="408" spans="1:8" hidden="1" x14ac:dyDescent="0.35">
      <c r="A408" s="15">
        <f t="shared" si="22"/>
        <v>1614</v>
      </c>
      <c r="B408" s="15">
        <v>16</v>
      </c>
      <c r="C408" s="13" t="s">
        <v>854</v>
      </c>
      <c r="D408" s="13" t="s">
        <v>842</v>
      </c>
      <c r="E408" s="13" t="s">
        <v>1096</v>
      </c>
      <c r="F408" s="9" t="s">
        <v>1118</v>
      </c>
      <c r="G408" s="9" t="s">
        <v>843</v>
      </c>
      <c r="H408" s="29" t="str">
        <f t="shared" si="21"/>
        <v>26</v>
      </c>
    </row>
    <row r="409" spans="1:8" hidden="1" x14ac:dyDescent="0.35">
      <c r="A409" s="15">
        <f t="shared" si="22"/>
        <v>1615</v>
      </c>
      <c r="B409" s="15">
        <v>16</v>
      </c>
      <c r="C409" s="13" t="s">
        <v>854</v>
      </c>
      <c r="D409" s="13" t="s">
        <v>801</v>
      </c>
      <c r="E409" s="13" t="s">
        <v>1053</v>
      </c>
      <c r="F409" s="9" t="s">
        <v>1117</v>
      </c>
      <c r="G409" s="9" t="s">
        <v>802</v>
      </c>
      <c r="H409" s="29" t="str">
        <f t="shared" si="21"/>
        <v>33</v>
      </c>
    </row>
    <row r="410" spans="1:8" hidden="1" x14ac:dyDescent="0.35">
      <c r="A410" s="15">
        <f t="shared" si="22"/>
        <v>1616</v>
      </c>
      <c r="B410" s="15">
        <v>16</v>
      </c>
      <c r="C410" s="13" t="s">
        <v>854</v>
      </c>
      <c r="D410" s="13" t="s">
        <v>814</v>
      </c>
      <c r="E410" s="13" t="s">
        <v>1056</v>
      </c>
      <c r="F410" s="9" t="s">
        <v>60</v>
      </c>
      <c r="G410" s="9" t="s">
        <v>815</v>
      </c>
      <c r="H410" s="29" t="str">
        <f t="shared" si="21"/>
        <v>24</v>
      </c>
    </row>
    <row r="411" spans="1:8" hidden="1" x14ac:dyDescent="0.35">
      <c r="A411" s="15">
        <f t="shared" si="22"/>
        <v>1617</v>
      </c>
      <c r="B411" s="15">
        <v>16</v>
      </c>
      <c r="C411" s="13" t="s">
        <v>854</v>
      </c>
      <c r="D411" s="13" t="s">
        <v>808</v>
      </c>
      <c r="E411" s="13" t="s">
        <v>1068</v>
      </c>
      <c r="F411" s="9" t="s">
        <v>1123</v>
      </c>
      <c r="G411" s="9" t="s">
        <v>809</v>
      </c>
      <c r="H411" s="29" t="str">
        <f t="shared" si="21"/>
        <v>25</v>
      </c>
    </row>
    <row r="412" spans="1:8" hidden="1" x14ac:dyDescent="0.35">
      <c r="A412" s="15">
        <f t="shared" si="22"/>
        <v>1618</v>
      </c>
      <c r="B412" s="15">
        <v>16</v>
      </c>
      <c r="C412" s="13" t="s">
        <v>854</v>
      </c>
      <c r="D412" s="13" t="s">
        <v>816</v>
      </c>
      <c r="E412" s="13" t="s">
        <v>1056</v>
      </c>
      <c r="F412" s="9" t="s">
        <v>60</v>
      </c>
      <c r="G412" s="9" t="s">
        <v>817</v>
      </c>
      <c r="H412" s="29" t="str">
        <f t="shared" si="21"/>
        <v>23</v>
      </c>
    </row>
    <row r="413" spans="1:8" hidden="1" x14ac:dyDescent="0.35">
      <c r="A413" s="15">
        <f t="shared" si="22"/>
        <v>1619</v>
      </c>
      <c r="B413" s="15">
        <v>16</v>
      </c>
      <c r="C413" s="13" t="s">
        <v>854</v>
      </c>
      <c r="D413" s="13" t="s">
        <v>803</v>
      </c>
      <c r="E413" s="13" t="s">
        <v>1111</v>
      </c>
      <c r="F413" s="9" t="s">
        <v>1126</v>
      </c>
      <c r="G413" s="9" t="s">
        <v>804</v>
      </c>
      <c r="H413" s="29" t="str">
        <f t="shared" si="21"/>
        <v>24</v>
      </c>
    </row>
    <row r="414" spans="1:8" hidden="1" x14ac:dyDescent="0.35">
      <c r="A414" s="15">
        <f t="shared" si="22"/>
        <v>1620</v>
      </c>
      <c r="B414" s="15">
        <v>16</v>
      </c>
      <c r="C414" s="13" t="s">
        <v>854</v>
      </c>
      <c r="D414" s="13" t="s">
        <v>834</v>
      </c>
      <c r="E414" s="13" t="s">
        <v>1051</v>
      </c>
      <c r="F414" s="9" t="s">
        <v>1122</v>
      </c>
      <c r="G414" s="9" t="s">
        <v>835</v>
      </c>
      <c r="H414" s="29" t="str">
        <f t="shared" si="21"/>
        <v>27</v>
      </c>
    </row>
    <row r="415" spans="1:8" hidden="1" x14ac:dyDescent="0.35">
      <c r="A415" s="15">
        <f t="shared" si="22"/>
        <v>1621</v>
      </c>
      <c r="B415" s="15">
        <v>16</v>
      </c>
      <c r="C415" s="13" t="s">
        <v>854</v>
      </c>
      <c r="D415" s="13" t="s">
        <v>824</v>
      </c>
      <c r="E415" s="13" t="s">
        <v>1082</v>
      </c>
      <c r="F415" s="9" t="s">
        <v>1126</v>
      </c>
      <c r="G415" s="9" t="s">
        <v>825</v>
      </c>
      <c r="H415" s="29" t="str">
        <f t="shared" si="21"/>
        <v>22</v>
      </c>
    </row>
    <row r="416" spans="1:8" hidden="1" x14ac:dyDescent="0.35">
      <c r="A416" s="15">
        <f t="shared" si="22"/>
        <v>1622</v>
      </c>
      <c r="B416" s="15">
        <v>16</v>
      </c>
      <c r="C416" s="13" t="s">
        <v>854</v>
      </c>
      <c r="D416" s="13" t="s">
        <v>799</v>
      </c>
      <c r="E416" s="13" t="s">
        <v>1098</v>
      </c>
      <c r="F416" s="9" t="s">
        <v>60</v>
      </c>
      <c r="G416" s="9" t="s">
        <v>800</v>
      </c>
      <c r="H416" s="29" t="str">
        <f t="shared" si="21"/>
        <v>27</v>
      </c>
    </row>
    <row r="417" spans="1:8" hidden="1" x14ac:dyDescent="0.35">
      <c r="A417" s="15">
        <f t="shared" si="22"/>
        <v>1623</v>
      </c>
      <c r="B417" s="15">
        <v>16</v>
      </c>
      <c r="C417" s="13" t="s">
        <v>854</v>
      </c>
      <c r="D417" s="13" t="s">
        <v>818</v>
      </c>
      <c r="E417" s="13" t="s">
        <v>1089</v>
      </c>
      <c r="F417" s="9" t="s">
        <v>60</v>
      </c>
      <c r="G417" s="9" t="s">
        <v>819</v>
      </c>
      <c r="H417" s="29" t="str">
        <f t="shared" si="21"/>
        <v>29</v>
      </c>
    </row>
    <row r="418" spans="1:8" hidden="1" x14ac:dyDescent="0.35">
      <c r="A418" s="15">
        <f t="shared" si="22"/>
        <v>1624</v>
      </c>
      <c r="B418" s="15">
        <v>16</v>
      </c>
      <c r="C418" s="13" t="s">
        <v>854</v>
      </c>
      <c r="D418" s="13" t="s">
        <v>820</v>
      </c>
      <c r="E418" s="13" t="s">
        <v>1107</v>
      </c>
      <c r="F418" s="9" t="s">
        <v>60</v>
      </c>
      <c r="G418" s="9" t="s">
        <v>821</v>
      </c>
      <c r="H418" s="29" t="str">
        <f t="shared" si="21"/>
        <v>28</v>
      </c>
    </row>
    <row r="419" spans="1:8" hidden="1" x14ac:dyDescent="0.35">
      <c r="A419" s="15">
        <f t="shared" si="22"/>
        <v>1625</v>
      </c>
      <c r="B419" s="15">
        <v>16</v>
      </c>
      <c r="C419" s="13" t="s">
        <v>854</v>
      </c>
      <c r="D419" s="13" t="s">
        <v>840</v>
      </c>
      <c r="E419" s="13" t="s">
        <v>1068</v>
      </c>
      <c r="F419" s="9" t="s">
        <v>1124</v>
      </c>
      <c r="G419" s="9" t="s">
        <v>841</v>
      </c>
      <c r="H419" s="29" t="str">
        <f t="shared" si="21"/>
        <v>21</v>
      </c>
    </row>
    <row r="420" spans="1:8" hidden="1" x14ac:dyDescent="0.35">
      <c r="A420" s="15">
        <f t="shared" si="22"/>
        <v>1626</v>
      </c>
      <c r="B420" s="15">
        <v>16</v>
      </c>
      <c r="C420" s="13" t="s">
        <v>854</v>
      </c>
      <c r="D420" s="13" t="s">
        <v>828</v>
      </c>
      <c r="E420" s="13" t="s">
        <v>1068</v>
      </c>
      <c r="F420" s="9" t="s">
        <v>1122</v>
      </c>
      <c r="G420" s="9" t="s">
        <v>829</v>
      </c>
      <c r="H420" s="29" t="str">
        <f t="shared" si="21"/>
        <v>27</v>
      </c>
    </row>
    <row r="421" spans="1:8" hidden="1" x14ac:dyDescent="0.35">
      <c r="A421" s="15">
        <f t="shared" si="22"/>
        <v>1627</v>
      </c>
      <c r="B421" s="15">
        <v>16</v>
      </c>
      <c r="C421" s="13" t="s">
        <v>854</v>
      </c>
      <c r="D421" s="13" t="s">
        <v>846</v>
      </c>
      <c r="E421" s="13" t="s">
        <v>1089</v>
      </c>
      <c r="F421" s="9" t="s">
        <v>1118</v>
      </c>
      <c r="G421" s="9" t="s">
        <v>847</v>
      </c>
      <c r="H421" s="29" t="str">
        <f t="shared" si="21"/>
        <v>28</v>
      </c>
    </row>
    <row r="422" spans="1:8" hidden="1" x14ac:dyDescent="0.35">
      <c r="A422" s="15">
        <f t="shared" si="22"/>
        <v>1628</v>
      </c>
      <c r="B422" s="15">
        <v>16</v>
      </c>
      <c r="C422" s="13" t="s">
        <v>854</v>
      </c>
      <c r="D422" s="13" t="s">
        <v>848</v>
      </c>
      <c r="E422" s="13" t="s">
        <v>1059</v>
      </c>
      <c r="F422" s="9" t="s">
        <v>60</v>
      </c>
      <c r="G422" s="9" t="s">
        <v>849</v>
      </c>
      <c r="H422" s="29" t="str">
        <f t="shared" si="21"/>
        <v>34</v>
      </c>
    </row>
    <row r="423" spans="1:8" hidden="1" x14ac:dyDescent="0.35">
      <c r="A423" s="15">
        <f t="shared" si="22"/>
        <v>1629</v>
      </c>
      <c r="B423" s="15">
        <v>16</v>
      </c>
      <c r="C423" s="13" t="s">
        <v>854</v>
      </c>
      <c r="D423" s="13" t="s">
        <v>844</v>
      </c>
      <c r="E423" s="13" t="s">
        <v>1068</v>
      </c>
      <c r="F423" s="9" t="s">
        <v>60</v>
      </c>
      <c r="G423" s="9" t="s">
        <v>845</v>
      </c>
      <c r="H423" s="29" t="str">
        <f t="shared" si="21"/>
        <v>19</v>
      </c>
    </row>
    <row r="424" spans="1:8" hidden="1" x14ac:dyDescent="0.35">
      <c r="A424" s="15">
        <v>1701</v>
      </c>
      <c r="B424" s="15">
        <v>17</v>
      </c>
      <c r="C424" s="13" t="s">
        <v>903</v>
      </c>
      <c r="D424" s="13" t="s">
        <v>901</v>
      </c>
      <c r="E424" s="13" t="s">
        <v>1068</v>
      </c>
      <c r="F424" s="9" t="s">
        <v>1117</v>
      </c>
      <c r="G424" s="9" t="s">
        <v>902</v>
      </c>
      <c r="H424" s="29" t="str">
        <f t="shared" si="21"/>
        <v>25</v>
      </c>
    </row>
    <row r="425" spans="1:8" hidden="1" x14ac:dyDescent="0.35">
      <c r="A425" s="15">
        <f>A424+1</f>
        <v>1702</v>
      </c>
      <c r="B425" s="15">
        <v>17</v>
      </c>
      <c r="C425" s="13" t="s">
        <v>903</v>
      </c>
      <c r="D425" s="13" t="s">
        <v>882</v>
      </c>
      <c r="E425" s="13" t="s">
        <v>1057</v>
      </c>
      <c r="F425" s="9" t="s">
        <v>1126</v>
      </c>
      <c r="G425" s="9" t="s">
        <v>883</v>
      </c>
      <c r="H425" s="29" t="str">
        <f t="shared" si="21"/>
        <v>31</v>
      </c>
    </row>
    <row r="426" spans="1:8" hidden="1" x14ac:dyDescent="0.35">
      <c r="A426" s="15">
        <f t="shared" ref="A426:A449" si="23">A425+1</f>
        <v>1703</v>
      </c>
      <c r="B426" s="15">
        <v>17</v>
      </c>
      <c r="C426" s="13" t="s">
        <v>903</v>
      </c>
      <c r="D426" s="13" t="s">
        <v>888</v>
      </c>
      <c r="E426" s="13" t="s">
        <v>1054</v>
      </c>
      <c r="F426" s="9" t="s">
        <v>1124</v>
      </c>
      <c r="G426" s="9" t="s">
        <v>889</v>
      </c>
      <c r="H426" s="29" t="str">
        <f t="shared" si="21"/>
        <v>30</v>
      </c>
    </row>
    <row r="427" spans="1:8" hidden="1" x14ac:dyDescent="0.35">
      <c r="A427" s="15">
        <f t="shared" si="23"/>
        <v>1704</v>
      </c>
      <c r="B427" s="15">
        <v>17</v>
      </c>
      <c r="C427" s="13" t="s">
        <v>903</v>
      </c>
      <c r="D427" s="13" t="s">
        <v>892</v>
      </c>
      <c r="E427" s="13" t="s">
        <v>1091</v>
      </c>
      <c r="F427" s="9" t="s">
        <v>1118</v>
      </c>
      <c r="G427" s="9" t="s">
        <v>893</v>
      </c>
      <c r="H427" s="29" t="str">
        <f t="shared" si="21"/>
        <v>23</v>
      </c>
    </row>
    <row r="428" spans="1:8" hidden="1" x14ac:dyDescent="0.35">
      <c r="A428" s="15">
        <f t="shared" si="23"/>
        <v>1705</v>
      </c>
      <c r="B428" s="15">
        <v>17</v>
      </c>
      <c r="C428" s="13" t="s">
        <v>903</v>
      </c>
      <c r="D428" s="13" t="s">
        <v>865</v>
      </c>
      <c r="E428" s="13" t="s">
        <v>1086</v>
      </c>
      <c r="F428" s="9" t="s">
        <v>1118</v>
      </c>
      <c r="G428" s="9" t="s">
        <v>866</v>
      </c>
      <c r="H428" s="29" t="str">
        <f t="shared" si="21"/>
        <v>20</v>
      </c>
    </row>
    <row r="429" spans="1:8" hidden="1" x14ac:dyDescent="0.35">
      <c r="A429" s="15">
        <f t="shared" si="23"/>
        <v>1706</v>
      </c>
      <c r="B429" s="15">
        <v>17</v>
      </c>
      <c r="C429" s="13" t="s">
        <v>903</v>
      </c>
      <c r="D429" s="13" t="s">
        <v>884</v>
      </c>
      <c r="E429" s="13" t="s">
        <v>1068</v>
      </c>
      <c r="F429" s="9" t="s">
        <v>1122</v>
      </c>
      <c r="G429" s="9" t="s">
        <v>885</v>
      </c>
      <c r="H429" s="29" t="str">
        <f t="shared" si="21"/>
        <v>18</v>
      </c>
    </row>
    <row r="430" spans="1:8" hidden="1" x14ac:dyDescent="0.35">
      <c r="A430" s="15">
        <f t="shared" si="23"/>
        <v>1707</v>
      </c>
      <c r="B430" s="15">
        <v>17</v>
      </c>
      <c r="C430" s="13" t="s">
        <v>903</v>
      </c>
      <c r="D430" s="13" t="s">
        <v>895</v>
      </c>
      <c r="E430" s="13" t="s">
        <v>1068</v>
      </c>
      <c r="F430" s="9" t="s">
        <v>1122</v>
      </c>
      <c r="G430" s="9" t="s">
        <v>896</v>
      </c>
      <c r="H430" s="29" t="str">
        <f t="shared" si="21"/>
        <v>23</v>
      </c>
    </row>
    <row r="431" spans="1:8" hidden="1" x14ac:dyDescent="0.35">
      <c r="A431" s="15">
        <f t="shared" si="23"/>
        <v>1708</v>
      </c>
      <c r="B431" s="15">
        <v>17</v>
      </c>
      <c r="C431" s="13" t="s">
        <v>903</v>
      </c>
      <c r="D431" s="13" t="s">
        <v>880</v>
      </c>
      <c r="E431" s="13" t="s">
        <v>1090</v>
      </c>
      <c r="F431" s="9" t="s">
        <v>60</v>
      </c>
      <c r="G431" s="9" t="s">
        <v>881</v>
      </c>
      <c r="H431" s="29" t="str">
        <f t="shared" si="21"/>
        <v>26</v>
      </c>
    </row>
    <row r="432" spans="1:8" hidden="1" x14ac:dyDescent="0.35">
      <c r="A432" s="15">
        <f t="shared" si="23"/>
        <v>1709</v>
      </c>
      <c r="B432" s="15">
        <v>17</v>
      </c>
      <c r="C432" s="13" t="s">
        <v>903</v>
      </c>
      <c r="D432" s="13" t="s">
        <v>878</v>
      </c>
      <c r="E432" s="13" t="s">
        <v>1069</v>
      </c>
      <c r="F432" s="9" t="s">
        <v>1118</v>
      </c>
      <c r="G432" s="9" t="s">
        <v>879</v>
      </c>
      <c r="H432" s="29" t="str">
        <f t="shared" si="21"/>
        <v>20</v>
      </c>
    </row>
    <row r="433" spans="1:8" hidden="1" x14ac:dyDescent="0.35">
      <c r="A433" s="15">
        <f t="shared" si="23"/>
        <v>1710</v>
      </c>
      <c r="B433" s="15">
        <v>17</v>
      </c>
      <c r="C433" s="13" t="s">
        <v>903</v>
      </c>
      <c r="D433" s="13" t="s">
        <v>873</v>
      </c>
      <c r="E433" s="13" t="s">
        <v>1070</v>
      </c>
      <c r="F433" s="9" t="s">
        <v>1124</v>
      </c>
      <c r="G433" s="9" t="s">
        <v>874</v>
      </c>
      <c r="H433" s="29" t="str">
        <f t="shared" si="21"/>
        <v>25</v>
      </c>
    </row>
    <row r="434" spans="1:8" hidden="1" x14ac:dyDescent="0.35">
      <c r="A434" s="15">
        <f t="shared" si="23"/>
        <v>1711</v>
      </c>
      <c r="B434" s="15">
        <v>17</v>
      </c>
      <c r="C434" s="13" t="s">
        <v>903</v>
      </c>
      <c r="D434" s="13" t="s">
        <v>857</v>
      </c>
      <c r="E434" s="13" t="s">
        <v>1058</v>
      </c>
      <c r="F434" s="9" t="s">
        <v>1122</v>
      </c>
      <c r="G434" s="9" t="s">
        <v>858</v>
      </c>
      <c r="H434" s="29" t="str">
        <f t="shared" si="21"/>
        <v>33</v>
      </c>
    </row>
    <row r="435" spans="1:8" hidden="1" x14ac:dyDescent="0.35">
      <c r="A435" s="15">
        <f t="shared" si="23"/>
        <v>1712</v>
      </c>
      <c r="B435" s="15">
        <v>17</v>
      </c>
      <c r="C435" s="13" t="s">
        <v>903</v>
      </c>
      <c r="D435" s="13" t="s">
        <v>875</v>
      </c>
      <c r="E435" s="13" t="s">
        <v>1103</v>
      </c>
      <c r="F435" s="9" t="s">
        <v>1122</v>
      </c>
      <c r="G435" s="9" t="s">
        <v>244</v>
      </c>
      <c r="H435" s="29" t="str">
        <f t="shared" si="21"/>
        <v>21</v>
      </c>
    </row>
    <row r="436" spans="1:8" hidden="1" x14ac:dyDescent="0.35">
      <c r="A436" s="15">
        <f t="shared" si="23"/>
        <v>1713</v>
      </c>
      <c r="B436" s="15">
        <v>17</v>
      </c>
      <c r="C436" s="13" t="s">
        <v>903</v>
      </c>
      <c r="D436" s="13" t="s">
        <v>897</v>
      </c>
      <c r="E436" s="13" t="s">
        <v>1068</v>
      </c>
      <c r="F436" s="9" t="s">
        <v>1122</v>
      </c>
      <c r="G436" s="9" t="s">
        <v>898</v>
      </c>
      <c r="H436" s="29" t="str">
        <f t="shared" si="21"/>
        <v>20</v>
      </c>
    </row>
    <row r="437" spans="1:8" hidden="1" x14ac:dyDescent="0.35">
      <c r="A437" s="15">
        <f t="shared" si="23"/>
        <v>1714</v>
      </c>
      <c r="B437" s="15">
        <v>17</v>
      </c>
      <c r="C437" s="13" t="s">
        <v>903</v>
      </c>
      <c r="D437" s="13" t="s">
        <v>886</v>
      </c>
      <c r="E437" s="13" t="s">
        <v>1091</v>
      </c>
      <c r="F437" s="9" t="s">
        <v>60</v>
      </c>
      <c r="G437" s="9" t="s">
        <v>887</v>
      </c>
      <c r="H437" s="29" t="str">
        <f t="shared" si="21"/>
        <v>22</v>
      </c>
    </row>
    <row r="438" spans="1:8" hidden="1" x14ac:dyDescent="0.35">
      <c r="A438" s="15">
        <f t="shared" si="23"/>
        <v>1715</v>
      </c>
      <c r="B438" s="15">
        <v>17</v>
      </c>
      <c r="C438" s="13" t="s">
        <v>903</v>
      </c>
      <c r="D438" s="13" t="s">
        <v>899</v>
      </c>
      <c r="E438" s="13" t="s">
        <v>1068</v>
      </c>
      <c r="F438" s="9" t="s">
        <v>1126</v>
      </c>
      <c r="G438" s="9" t="s">
        <v>900</v>
      </c>
      <c r="H438" s="29" t="str">
        <f t="shared" si="21"/>
        <v>30</v>
      </c>
    </row>
    <row r="439" spans="1:8" hidden="1" x14ac:dyDescent="0.35">
      <c r="A439" s="15">
        <f t="shared" si="23"/>
        <v>1716</v>
      </c>
      <c r="B439" s="15">
        <v>17</v>
      </c>
      <c r="C439" s="13" t="s">
        <v>903</v>
      </c>
      <c r="D439" s="13" t="s">
        <v>890</v>
      </c>
      <c r="E439" s="13" t="s">
        <v>1091</v>
      </c>
      <c r="F439" s="9" t="s">
        <v>1126</v>
      </c>
      <c r="G439" s="9" t="s">
        <v>891</v>
      </c>
      <c r="H439" s="29" t="str">
        <f t="shared" si="21"/>
        <v>25</v>
      </c>
    </row>
    <row r="440" spans="1:8" hidden="1" x14ac:dyDescent="0.35">
      <c r="A440" s="15">
        <f t="shared" si="23"/>
        <v>1717</v>
      </c>
      <c r="B440" s="15">
        <v>17</v>
      </c>
      <c r="C440" s="13" t="s">
        <v>903</v>
      </c>
      <c r="D440" s="13" t="s">
        <v>377</v>
      </c>
      <c r="E440" s="13" t="s">
        <v>1069</v>
      </c>
      <c r="F440" s="9" t="s">
        <v>1118</v>
      </c>
      <c r="G440" s="9" t="s">
        <v>378</v>
      </c>
      <c r="H440" s="29" t="str">
        <f t="shared" si="21"/>
        <v>19</v>
      </c>
    </row>
    <row r="441" spans="1:8" hidden="1" x14ac:dyDescent="0.35">
      <c r="A441" s="15">
        <f t="shared" si="23"/>
        <v>1718</v>
      </c>
      <c r="B441" s="15">
        <v>17</v>
      </c>
      <c r="C441" s="13" t="s">
        <v>903</v>
      </c>
      <c r="D441" s="13" t="s">
        <v>859</v>
      </c>
      <c r="E441" s="13" t="s">
        <v>1057</v>
      </c>
      <c r="F441" s="9" t="s">
        <v>1122</v>
      </c>
      <c r="G441" s="9" t="s">
        <v>860</v>
      </c>
      <c r="H441" s="29" t="str">
        <f t="shared" si="21"/>
        <v>20</v>
      </c>
    </row>
    <row r="442" spans="1:8" hidden="1" x14ac:dyDescent="0.35">
      <c r="A442" s="15">
        <f t="shared" si="23"/>
        <v>1719</v>
      </c>
      <c r="B442" s="15">
        <v>17</v>
      </c>
      <c r="C442" s="13" t="s">
        <v>903</v>
      </c>
      <c r="D442" s="13" t="s">
        <v>867</v>
      </c>
      <c r="E442" s="13" t="s">
        <v>1070</v>
      </c>
      <c r="F442" s="9" t="s">
        <v>60</v>
      </c>
      <c r="G442" s="9" t="s">
        <v>868</v>
      </c>
      <c r="H442" s="29" t="str">
        <f t="shared" si="21"/>
        <v>27</v>
      </c>
    </row>
    <row r="443" spans="1:8" hidden="1" x14ac:dyDescent="0.35">
      <c r="A443" s="15">
        <f t="shared" si="23"/>
        <v>1720</v>
      </c>
      <c r="B443" s="15">
        <v>17</v>
      </c>
      <c r="C443" s="13" t="s">
        <v>903</v>
      </c>
      <c r="D443" s="13" t="s">
        <v>863</v>
      </c>
      <c r="E443" s="13" t="s">
        <v>1097</v>
      </c>
      <c r="F443" s="9" t="s">
        <v>60</v>
      </c>
      <c r="G443" s="9" t="s">
        <v>864</v>
      </c>
      <c r="H443" s="29" t="str">
        <f t="shared" si="21"/>
        <v>28</v>
      </c>
    </row>
    <row r="444" spans="1:8" hidden="1" x14ac:dyDescent="0.35">
      <c r="A444" s="15">
        <f t="shared" si="23"/>
        <v>1721</v>
      </c>
      <c r="B444" s="15">
        <v>17</v>
      </c>
      <c r="C444" s="13" t="s">
        <v>903</v>
      </c>
      <c r="D444" s="13" t="s">
        <v>894</v>
      </c>
      <c r="E444" s="13" t="s">
        <v>1068</v>
      </c>
      <c r="F444" s="9" t="s">
        <v>1123</v>
      </c>
      <c r="G444" s="9" t="s">
        <v>170</v>
      </c>
      <c r="H444" s="29" t="str">
        <f t="shared" si="21"/>
        <v>28</v>
      </c>
    </row>
    <row r="445" spans="1:8" hidden="1" x14ac:dyDescent="0.35">
      <c r="A445" s="15">
        <f t="shared" si="23"/>
        <v>1722</v>
      </c>
      <c r="B445" s="15">
        <v>17</v>
      </c>
      <c r="C445" s="13" t="s">
        <v>903</v>
      </c>
      <c r="D445" s="13" t="s">
        <v>869</v>
      </c>
      <c r="E445" s="13" t="s">
        <v>1088</v>
      </c>
      <c r="F445" s="9" t="s">
        <v>60</v>
      </c>
      <c r="G445" s="9" t="s">
        <v>870</v>
      </c>
      <c r="H445" s="29" t="str">
        <f t="shared" si="21"/>
        <v>31</v>
      </c>
    </row>
    <row r="446" spans="1:8" hidden="1" x14ac:dyDescent="0.35">
      <c r="A446" s="15">
        <f t="shared" si="23"/>
        <v>1723</v>
      </c>
      <c r="B446" s="15">
        <v>17</v>
      </c>
      <c r="C446" s="13" t="s">
        <v>903</v>
      </c>
      <c r="D446" s="13" t="s">
        <v>855</v>
      </c>
      <c r="E446" s="13" t="s">
        <v>1091</v>
      </c>
      <c r="F446" s="9" t="s">
        <v>1117</v>
      </c>
      <c r="G446" s="9" t="s">
        <v>856</v>
      </c>
      <c r="H446" s="29" t="str">
        <f t="shared" si="21"/>
        <v>22</v>
      </c>
    </row>
    <row r="447" spans="1:8" hidden="1" x14ac:dyDescent="0.35">
      <c r="A447" s="15">
        <f t="shared" si="23"/>
        <v>1724</v>
      </c>
      <c r="B447" s="15">
        <v>17</v>
      </c>
      <c r="C447" s="13" t="s">
        <v>903</v>
      </c>
      <c r="D447" s="13" t="s">
        <v>876</v>
      </c>
      <c r="E447" s="13" t="s">
        <v>1059</v>
      </c>
      <c r="F447" s="9" t="s">
        <v>1118</v>
      </c>
      <c r="G447" s="9" t="s">
        <v>877</v>
      </c>
      <c r="H447" s="29" t="str">
        <f t="shared" si="21"/>
        <v>23</v>
      </c>
    </row>
    <row r="448" spans="1:8" hidden="1" x14ac:dyDescent="0.35">
      <c r="A448" s="15">
        <f t="shared" si="23"/>
        <v>1725</v>
      </c>
      <c r="B448" s="15">
        <v>17</v>
      </c>
      <c r="C448" s="13" t="s">
        <v>903</v>
      </c>
      <c r="D448" s="13" t="s">
        <v>861</v>
      </c>
      <c r="E448" s="13" t="s">
        <v>1090</v>
      </c>
      <c r="F448" s="9" t="s">
        <v>60</v>
      </c>
      <c r="G448" s="9" t="s">
        <v>862</v>
      </c>
      <c r="H448" s="29" t="str">
        <f t="shared" si="21"/>
        <v>23</v>
      </c>
    </row>
    <row r="449" spans="1:8" hidden="1" x14ac:dyDescent="0.35">
      <c r="A449" s="15">
        <f t="shared" si="23"/>
        <v>1726</v>
      </c>
      <c r="B449" s="15">
        <v>17</v>
      </c>
      <c r="C449" s="13" t="s">
        <v>903</v>
      </c>
      <c r="D449" s="13" t="s">
        <v>871</v>
      </c>
      <c r="E449" s="13" t="s">
        <v>1070</v>
      </c>
      <c r="F449" s="9" t="s">
        <v>1118</v>
      </c>
      <c r="G449" s="9" t="s">
        <v>872</v>
      </c>
      <c r="H449" s="29" t="str">
        <f t="shared" si="21"/>
        <v>25</v>
      </c>
    </row>
    <row r="450" spans="1:8" hidden="1" x14ac:dyDescent="0.35">
      <c r="A450" s="15">
        <v>1801</v>
      </c>
      <c r="B450" s="15">
        <v>18</v>
      </c>
      <c r="C450" s="13" t="s">
        <v>952</v>
      </c>
      <c r="D450" s="13" t="s">
        <v>942</v>
      </c>
      <c r="E450" s="13" t="s">
        <v>1062</v>
      </c>
      <c r="F450" s="9" t="s">
        <v>1117</v>
      </c>
      <c r="G450" s="9" t="s">
        <v>943</v>
      </c>
      <c r="H450" s="29" t="str">
        <f t="shared" ref="H450:H513" si="24">LEFT(G450,2)</f>
        <v>22</v>
      </c>
    </row>
    <row r="451" spans="1:8" hidden="1" x14ac:dyDescent="0.35">
      <c r="A451" s="15">
        <f>A450+1</f>
        <v>1802</v>
      </c>
      <c r="B451" s="15">
        <v>18</v>
      </c>
      <c r="C451" s="13" t="s">
        <v>952</v>
      </c>
      <c r="D451" s="13" t="s">
        <v>936</v>
      </c>
      <c r="E451" s="13" t="s">
        <v>1068</v>
      </c>
      <c r="F451" s="9" t="s">
        <v>1122</v>
      </c>
      <c r="G451" s="9" t="s">
        <v>468</v>
      </c>
      <c r="H451" s="29" t="str">
        <f t="shared" si="24"/>
        <v>19</v>
      </c>
    </row>
    <row r="452" spans="1:8" hidden="1" x14ac:dyDescent="0.35">
      <c r="A452" s="15">
        <f t="shared" ref="A452:A474" si="25">A451+1</f>
        <v>1803</v>
      </c>
      <c r="B452" s="15">
        <v>18</v>
      </c>
      <c r="C452" s="13" t="s">
        <v>952</v>
      </c>
      <c r="D452" s="13" t="s">
        <v>940</v>
      </c>
      <c r="E452" s="13" t="s">
        <v>1111</v>
      </c>
      <c r="F452" s="9" t="s">
        <v>1126</v>
      </c>
      <c r="G452" s="9" t="s">
        <v>941</v>
      </c>
      <c r="H452" s="29" t="str">
        <f t="shared" si="24"/>
        <v>32</v>
      </c>
    </row>
    <row r="453" spans="1:8" hidden="1" x14ac:dyDescent="0.35">
      <c r="A453" s="15">
        <f t="shared" si="25"/>
        <v>1804</v>
      </c>
      <c r="B453" s="15">
        <v>18</v>
      </c>
      <c r="C453" s="13" t="s">
        <v>952</v>
      </c>
      <c r="D453" s="13" t="s">
        <v>928</v>
      </c>
      <c r="E453" s="13" t="s">
        <v>1111</v>
      </c>
      <c r="F453" s="9" t="s">
        <v>1118</v>
      </c>
      <c r="G453" s="9" t="s">
        <v>929</v>
      </c>
      <c r="H453" s="29" t="str">
        <f t="shared" si="24"/>
        <v>24</v>
      </c>
    </row>
    <row r="454" spans="1:8" hidden="1" x14ac:dyDescent="0.35">
      <c r="A454" s="15">
        <f t="shared" si="25"/>
        <v>1805</v>
      </c>
      <c r="B454" s="15">
        <v>18</v>
      </c>
      <c r="C454" s="13" t="s">
        <v>952</v>
      </c>
      <c r="D454" s="13" t="s">
        <v>904</v>
      </c>
      <c r="E454" s="13" t="s">
        <v>1051</v>
      </c>
      <c r="F454" s="9" t="s">
        <v>60</v>
      </c>
      <c r="G454" s="9" t="s">
        <v>905</v>
      </c>
      <c r="H454" s="29" t="str">
        <f t="shared" si="24"/>
        <v>27</v>
      </c>
    </row>
    <row r="455" spans="1:8" hidden="1" x14ac:dyDescent="0.35">
      <c r="A455" s="15">
        <f t="shared" si="25"/>
        <v>1806</v>
      </c>
      <c r="B455" s="15">
        <v>18</v>
      </c>
      <c r="C455" s="13" t="s">
        <v>952</v>
      </c>
      <c r="D455" s="13" t="s">
        <v>946</v>
      </c>
      <c r="E455" s="13" t="s">
        <v>1068</v>
      </c>
      <c r="F455" s="9" t="s">
        <v>1118</v>
      </c>
      <c r="G455" s="9" t="s">
        <v>947</v>
      </c>
      <c r="H455" s="29" t="str">
        <f t="shared" si="24"/>
        <v>21</v>
      </c>
    </row>
    <row r="456" spans="1:8" hidden="1" x14ac:dyDescent="0.35">
      <c r="A456" s="15">
        <f t="shared" si="25"/>
        <v>1807</v>
      </c>
      <c r="B456" s="15">
        <v>18</v>
      </c>
      <c r="C456" s="13" t="s">
        <v>952</v>
      </c>
      <c r="D456" s="13" t="s">
        <v>926</v>
      </c>
      <c r="E456" s="13" t="s">
        <v>1082</v>
      </c>
      <c r="F456" s="9" t="s">
        <v>60</v>
      </c>
      <c r="G456" s="9" t="s">
        <v>927</v>
      </c>
      <c r="H456" s="29" t="str">
        <f t="shared" si="24"/>
        <v>22</v>
      </c>
    </row>
    <row r="457" spans="1:8" hidden="1" x14ac:dyDescent="0.35">
      <c r="A457" s="15">
        <f t="shared" si="25"/>
        <v>1808</v>
      </c>
      <c r="B457" s="15">
        <v>18</v>
      </c>
      <c r="C457" s="13" t="s">
        <v>952</v>
      </c>
      <c r="D457" s="13" t="s">
        <v>920</v>
      </c>
      <c r="E457" s="13" t="s">
        <v>1068</v>
      </c>
      <c r="F457" s="9" t="s">
        <v>60</v>
      </c>
      <c r="G457" s="9" t="s">
        <v>921</v>
      </c>
      <c r="H457" s="29" t="str">
        <f t="shared" si="24"/>
        <v>25</v>
      </c>
    </row>
    <row r="458" spans="1:8" hidden="1" x14ac:dyDescent="0.35">
      <c r="A458" s="15">
        <f t="shared" si="25"/>
        <v>1809</v>
      </c>
      <c r="B458" s="15">
        <v>18</v>
      </c>
      <c r="C458" s="13" t="s">
        <v>952</v>
      </c>
      <c r="D458" s="13" t="s">
        <v>937</v>
      </c>
      <c r="E458" s="13" t="s">
        <v>1068</v>
      </c>
      <c r="F458" s="9" t="s">
        <v>1118</v>
      </c>
      <c r="G458" s="9" t="s">
        <v>938</v>
      </c>
      <c r="H458" s="29" t="str">
        <f t="shared" si="24"/>
        <v>28</v>
      </c>
    </row>
    <row r="459" spans="1:8" hidden="1" x14ac:dyDescent="0.35">
      <c r="A459" s="15">
        <f t="shared" si="25"/>
        <v>1810</v>
      </c>
      <c r="B459" s="15">
        <v>18</v>
      </c>
      <c r="C459" s="13" t="s">
        <v>952</v>
      </c>
      <c r="D459" s="13" t="s">
        <v>906</v>
      </c>
      <c r="E459" s="13" t="s">
        <v>1082</v>
      </c>
      <c r="F459" s="9" t="s">
        <v>1117</v>
      </c>
      <c r="G459" s="9" t="s">
        <v>907</v>
      </c>
      <c r="H459" s="29" t="str">
        <f t="shared" si="24"/>
        <v>29</v>
      </c>
    </row>
    <row r="460" spans="1:8" hidden="1" x14ac:dyDescent="0.35">
      <c r="A460" s="15">
        <f t="shared" si="25"/>
        <v>1811</v>
      </c>
      <c r="B460" s="15">
        <v>18</v>
      </c>
      <c r="C460" s="13" t="s">
        <v>952</v>
      </c>
      <c r="D460" s="13" t="s">
        <v>914</v>
      </c>
      <c r="E460" s="13" t="s">
        <v>1096</v>
      </c>
      <c r="F460" s="9" t="s">
        <v>1122</v>
      </c>
      <c r="G460" s="9" t="s">
        <v>915</v>
      </c>
      <c r="H460" s="29" t="str">
        <f t="shared" si="24"/>
        <v>30</v>
      </c>
    </row>
    <row r="461" spans="1:8" hidden="1" x14ac:dyDescent="0.35">
      <c r="A461" s="15">
        <f t="shared" si="25"/>
        <v>1812</v>
      </c>
      <c r="B461" s="15">
        <v>18</v>
      </c>
      <c r="C461" s="13" t="s">
        <v>952</v>
      </c>
      <c r="D461" s="13" t="s">
        <v>939</v>
      </c>
      <c r="E461" s="13" t="s">
        <v>1052</v>
      </c>
      <c r="F461" s="9" t="s">
        <v>60</v>
      </c>
      <c r="G461" s="9" t="s">
        <v>308</v>
      </c>
      <c r="H461" s="29" t="str">
        <f t="shared" si="24"/>
        <v>27</v>
      </c>
    </row>
    <row r="462" spans="1:8" hidden="1" x14ac:dyDescent="0.35">
      <c r="A462" s="15">
        <f t="shared" si="25"/>
        <v>1813</v>
      </c>
      <c r="B462" s="15">
        <v>18</v>
      </c>
      <c r="C462" s="13" t="s">
        <v>952</v>
      </c>
      <c r="D462" s="13" t="s">
        <v>924</v>
      </c>
      <c r="E462" s="13" t="s">
        <v>1100</v>
      </c>
      <c r="F462" s="9" t="s">
        <v>1122</v>
      </c>
      <c r="G462" s="9" t="s">
        <v>925</v>
      </c>
      <c r="H462" s="29" t="str">
        <f t="shared" si="24"/>
        <v>19</v>
      </c>
    </row>
    <row r="463" spans="1:8" hidden="1" x14ac:dyDescent="0.35">
      <c r="A463" s="15">
        <f t="shared" si="25"/>
        <v>1814</v>
      </c>
      <c r="B463" s="15">
        <v>18</v>
      </c>
      <c r="C463" s="13" t="s">
        <v>952</v>
      </c>
      <c r="D463" s="13" t="s">
        <v>950</v>
      </c>
      <c r="E463" s="13" t="s">
        <v>1076</v>
      </c>
      <c r="F463" s="9" t="s">
        <v>60</v>
      </c>
      <c r="G463" s="9" t="s">
        <v>951</v>
      </c>
      <c r="H463" s="29" t="str">
        <f t="shared" si="24"/>
        <v>18</v>
      </c>
    </row>
    <row r="464" spans="1:8" hidden="1" x14ac:dyDescent="0.35">
      <c r="A464" s="15">
        <f t="shared" si="25"/>
        <v>1815</v>
      </c>
      <c r="B464" s="15">
        <v>18</v>
      </c>
      <c r="C464" s="13" t="s">
        <v>952</v>
      </c>
      <c r="D464" s="13" t="s">
        <v>948</v>
      </c>
      <c r="E464" s="13" t="s">
        <v>1080</v>
      </c>
      <c r="F464" s="9" t="s">
        <v>1124</v>
      </c>
      <c r="G464" s="9" t="s">
        <v>949</v>
      </c>
      <c r="H464" s="29" t="str">
        <f t="shared" si="24"/>
        <v>26</v>
      </c>
    </row>
    <row r="465" spans="1:8" hidden="1" x14ac:dyDescent="0.35">
      <c r="A465" s="15">
        <f t="shared" si="25"/>
        <v>1816</v>
      </c>
      <c r="B465" s="15">
        <v>18</v>
      </c>
      <c r="C465" s="13" t="s">
        <v>952</v>
      </c>
      <c r="D465" s="13" t="s">
        <v>934</v>
      </c>
      <c r="E465" s="13" t="s">
        <v>1070</v>
      </c>
      <c r="F465" s="9" t="s">
        <v>1118</v>
      </c>
      <c r="G465" s="9" t="s">
        <v>935</v>
      </c>
      <c r="H465" s="29" t="str">
        <f t="shared" si="24"/>
        <v>20</v>
      </c>
    </row>
    <row r="466" spans="1:8" hidden="1" x14ac:dyDescent="0.35">
      <c r="A466" s="15">
        <f t="shared" si="25"/>
        <v>1817</v>
      </c>
      <c r="B466" s="15">
        <v>18</v>
      </c>
      <c r="C466" s="13" t="s">
        <v>952</v>
      </c>
      <c r="D466" s="13" t="s">
        <v>908</v>
      </c>
      <c r="E466" s="13" t="s">
        <v>1091</v>
      </c>
      <c r="F466" s="9" t="s">
        <v>60</v>
      </c>
      <c r="G466" s="9" t="s">
        <v>909</v>
      </c>
      <c r="H466" s="29" t="str">
        <f t="shared" si="24"/>
        <v>24</v>
      </c>
    </row>
    <row r="467" spans="1:8" hidden="1" x14ac:dyDescent="0.35">
      <c r="A467" s="15">
        <f t="shared" si="25"/>
        <v>1818</v>
      </c>
      <c r="B467" s="15">
        <v>18</v>
      </c>
      <c r="C467" s="13" t="s">
        <v>952</v>
      </c>
      <c r="D467" s="13" t="s">
        <v>910</v>
      </c>
      <c r="E467" s="13" t="s">
        <v>1072</v>
      </c>
      <c r="F467" s="9" t="s">
        <v>1118</v>
      </c>
      <c r="G467" s="9" t="s">
        <v>911</v>
      </c>
      <c r="H467" s="29" t="str">
        <f t="shared" si="24"/>
        <v>25</v>
      </c>
    </row>
    <row r="468" spans="1:8" hidden="1" x14ac:dyDescent="0.35">
      <c r="A468" s="15">
        <f t="shared" si="25"/>
        <v>1819</v>
      </c>
      <c r="B468" s="15">
        <v>18</v>
      </c>
      <c r="C468" s="13" t="s">
        <v>952</v>
      </c>
      <c r="D468" s="13" t="s">
        <v>922</v>
      </c>
      <c r="E468" s="13" t="s">
        <v>1103</v>
      </c>
      <c r="F468" s="9" t="s">
        <v>1122</v>
      </c>
      <c r="G468" s="9" t="s">
        <v>923</v>
      </c>
      <c r="H468" s="29" t="str">
        <f t="shared" si="24"/>
        <v>23</v>
      </c>
    </row>
    <row r="469" spans="1:8" hidden="1" x14ac:dyDescent="0.35">
      <c r="A469" s="15">
        <f t="shared" si="25"/>
        <v>1820</v>
      </c>
      <c r="B469" s="15">
        <v>18</v>
      </c>
      <c r="C469" s="13" t="s">
        <v>952</v>
      </c>
      <c r="D469" s="13" t="s">
        <v>912</v>
      </c>
      <c r="E469" s="13" t="s">
        <v>1069</v>
      </c>
      <c r="F469" s="9" t="s">
        <v>60</v>
      </c>
      <c r="G469" s="9" t="s">
        <v>913</v>
      </c>
      <c r="H469" s="29" t="str">
        <f t="shared" si="24"/>
        <v>26</v>
      </c>
    </row>
    <row r="470" spans="1:8" hidden="1" x14ac:dyDescent="0.35">
      <c r="A470" s="15">
        <f t="shared" si="25"/>
        <v>1821</v>
      </c>
      <c r="B470" s="15">
        <v>18</v>
      </c>
      <c r="C470" s="13" t="s">
        <v>952</v>
      </c>
      <c r="D470" s="13" t="s">
        <v>944</v>
      </c>
      <c r="E470" s="13" t="s">
        <v>1070</v>
      </c>
      <c r="F470" s="9" t="s">
        <v>1124</v>
      </c>
      <c r="G470" s="9" t="s">
        <v>945</v>
      </c>
      <c r="H470" s="29" t="str">
        <f t="shared" si="24"/>
        <v>26</v>
      </c>
    </row>
    <row r="471" spans="1:8" hidden="1" x14ac:dyDescent="0.35">
      <c r="A471" s="15">
        <f t="shared" si="25"/>
        <v>1822</v>
      </c>
      <c r="B471" s="15">
        <v>18</v>
      </c>
      <c r="C471" s="13" t="s">
        <v>952</v>
      </c>
      <c r="D471" s="13" t="s">
        <v>916</v>
      </c>
      <c r="E471" s="13" t="s">
        <v>1056</v>
      </c>
      <c r="F471" s="9" t="s">
        <v>1118</v>
      </c>
      <c r="G471" s="9" t="s">
        <v>917</v>
      </c>
      <c r="H471" s="29" t="str">
        <f t="shared" si="24"/>
        <v>28</v>
      </c>
    </row>
    <row r="472" spans="1:8" hidden="1" x14ac:dyDescent="0.35">
      <c r="A472" s="15">
        <f t="shared" si="25"/>
        <v>1823</v>
      </c>
      <c r="B472" s="15">
        <v>18</v>
      </c>
      <c r="C472" s="13" t="s">
        <v>952</v>
      </c>
      <c r="D472" s="13" t="s">
        <v>918</v>
      </c>
      <c r="E472" s="13" t="s">
        <v>1109</v>
      </c>
      <c r="F472" s="9" t="s">
        <v>1122</v>
      </c>
      <c r="G472" s="9" t="s">
        <v>919</v>
      </c>
      <c r="H472" s="29" t="str">
        <f t="shared" si="24"/>
        <v>28</v>
      </c>
    </row>
    <row r="473" spans="1:8" hidden="1" x14ac:dyDescent="0.35">
      <c r="A473" s="15">
        <f t="shared" si="25"/>
        <v>1824</v>
      </c>
      <c r="B473" s="15">
        <v>18</v>
      </c>
      <c r="C473" s="13" t="s">
        <v>952</v>
      </c>
      <c r="D473" s="13" t="s">
        <v>932</v>
      </c>
      <c r="E473" s="13" t="s">
        <v>1070</v>
      </c>
      <c r="F473" s="9" t="s">
        <v>1118</v>
      </c>
      <c r="G473" s="9" t="s">
        <v>933</v>
      </c>
      <c r="H473" s="29" t="str">
        <f t="shared" si="24"/>
        <v>20</v>
      </c>
    </row>
    <row r="474" spans="1:8" hidden="1" x14ac:dyDescent="0.35">
      <c r="A474" s="15">
        <f t="shared" si="25"/>
        <v>1825</v>
      </c>
      <c r="B474" s="15">
        <v>18</v>
      </c>
      <c r="C474" s="13" t="s">
        <v>952</v>
      </c>
      <c r="D474" s="13" t="s">
        <v>930</v>
      </c>
      <c r="E474" s="13" t="s">
        <v>1091</v>
      </c>
      <c r="F474" s="9" t="s">
        <v>1124</v>
      </c>
      <c r="G474" s="9" t="s">
        <v>931</v>
      </c>
      <c r="H474" s="29" t="str">
        <f t="shared" si="24"/>
        <v>22</v>
      </c>
    </row>
    <row r="475" spans="1:8" hidden="1" x14ac:dyDescent="0.35">
      <c r="A475" s="15">
        <v>1901</v>
      </c>
      <c r="B475" s="15">
        <v>19</v>
      </c>
      <c r="C475" s="13" t="s">
        <v>1004</v>
      </c>
      <c r="D475" s="13" t="s">
        <v>975</v>
      </c>
      <c r="E475" s="13" t="s">
        <v>1057</v>
      </c>
      <c r="F475" s="9" t="s">
        <v>60</v>
      </c>
      <c r="G475" s="9" t="s">
        <v>976</v>
      </c>
      <c r="H475" s="29" t="str">
        <f t="shared" si="24"/>
        <v>27</v>
      </c>
    </row>
    <row r="476" spans="1:8" hidden="1" x14ac:dyDescent="0.35">
      <c r="A476" s="15">
        <f>A475+1</f>
        <v>1902</v>
      </c>
      <c r="B476" s="15">
        <v>19</v>
      </c>
      <c r="C476" s="13" t="s">
        <v>1004</v>
      </c>
      <c r="D476" s="13" t="s">
        <v>973</v>
      </c>
      <c r="E476" s="13" t="s">
        <v>1070</v>
      </c>
      <c r="F476" s="9" t="s">
        <v>1117</v>
      </c>
      <c r="G476" s="9" t="s">
        <v>974</v>
      </c>
      <c r="H476" s="29" t="str">
        <f t="shared" si="24"/>
        <v>32</v>
      </c>
    </row>
    <row r="477" spans="1:8" hidden="1" x14ac:dyDescent="0.35">
      <c r="A477" s="15">
        <f t="shared" ref="A477:A501" si="26">A476+1</f>
        <v>1903</v>
      </c>
      <c r="B477" s="15">
        <v>19</v>
      </c>
      <c r="C477" s="13" t="s">
        <v>1004</v>
      </c>
      <c r="D477" s="13" t="s">
        <v>994</v>
      </c>
      <c r="E477" s="13" t="s">
        <v>1099</v>
      </c>
      <c r="F477" s="9" t="s">
        <v>1122</v>
      </c>
      <c r="G477" s="9" t="s">
        <v>995</v>
      </c>
      <c r="H477" s="29" t="str">
        <f t="shared" si="24"/>
        <v>25</v>
      </c>
    </row>
    <row r="478" spans="1:8" hidden="1" x14ac:dyDescent="0.35">
      <c r="A478" s="15">
        <f t="shared" si="26"/>
        <v>1904</v>
      </c>
      <c r="B478" s="15">
        <v>19</v>
      </c>
      <c r="C478" s="13" t="s">
        <v>1004</v>
      </c>
      <c r="D478" s="13" t="s">
        <v>993</v>
      </c>
      <c r="E478" s="13" t="s">
        <v>1090</v>
      </c>
      <c r="F478" s="9" t="s">
        <v>1118</v>
      </c>
      <c r="G478" s="9" t="s">
        <v>933</v>
      </c>
      <c r="H478" s="29" t="str">
        <f t="shared" si="24"/>
        <v>20</v>
      </c>
    </row>
    <row r="479" spans="1:8" hidden="1" x14ac:dyDescent="0.35">
      <c r="A479" s="15">
        <f t="shared" si="26"/>
        <v>1905</v>
      </c>
      <c r="B479" s="15">
        <v>19</v>
      </c>
      <c r="C479" s="13" t="s">
        <v>1004</v>
      </c>
      <c r="D479" s="13" t="s">
        <v>985</v>
      </c>
      <c r="E479" s="13" t="s">
        <v>1068</v>
      </c>
      <c r="F479" s="9" t="s">
        <v>1118</v>
      </c>
      <c r="G479" s="9" t="s">
        <v>986</v>
      </c>
      <c r="H479" s="29" t="str">
        <f t="shared" si="24"/>
        <v>33</v>
      </c>
    </row>
    <row r="480" spans="1:8" hidden="1" x14ac:dyDescent="0.35">
      <c r="A480" s="15">
        <f t="shared" si="26"/>
        <v>1906</v>
      </c>
      <c r="B480" s="15">
        <v>19</v>
      </c>
      <c r="C480" s="13" t="s">
        <v>1004</v>
      </c>
      <c r="D480" s="13" t="s">
        <v>971</v>
      </c>
      <c r="E480" s="13" t="s">
        <v>1091</v>
      </c>
      <c r="F480" s="9" t="s">
        <v>1123</v>
      </c>
      <c r="G480" s="9" t="s">
        <v>972</v>
      </c>
      <c r="H480" s="29" t="str">
        <f t="shared" si="24"/>
        <v>23</v>
      </c>
    </row>
    <row r="481" spans="1:8" hidden="1" x14ac:dyDescent="0.35">
      <c r="A481" s="15">
        <f t="shared" si="26"/>
        <v>1907</v>
      </c>
      <c r="B481" s="15">
        <v>19</v>
      </c>
      <c r="C481" s="13" t="s">
        <v>1004</v>
      </c>
      <c r="D481" s="13" t="s">
        <v>998</v>
      </c>
      <c r="E481" s="13" t="s">
        <v>1087</v>
      </c>
      <c r="F481" s="9" t="s">
        <v>1126</v>
      </c>
      <c r="G481" s="9" t="s">
        <v>999</v>
      </c>
      <c r="H481" s="29" t="str">
        <f t="shared" si="24"/>
        <v>27</v>
      </c>
    </row>
    <row r="482" spans="1:8" hidden="1" x14ac:dyDescent="0.35">
      <c r="A482" s="15">
        <f t="shared" si="26"/>
        <v>1908</v>
      </c>
      <c r="B482" s="15">
        <v>19</v>
      </c>
      <c r="C482" s="13" t="s">
        <v>1004</v>
      </c>
      <c r="D482" s="13" t="s">
        <v>955</v>
      </c>
      <c r="E482" s="13" t="s">
        <v>1103</v>
      </c>
      <c r="F482" s="9" t="s">
        <v>60</v>
      </c>
      <c r="G482" s="9" t="s">
        <v>956</v>
      </c>
      <c r="H482" s="29" t="str">
        <f t="shared" si="24"/>
        <v>20</v>
      </c>
    </row>
    <row r="483" spans="1:8" hidden="1" x14ac:dyDescent="0.35">
      <c r="A483" s="15">
        <f t="shared" si="26"/>
        <v>1909</v>
      </c>
      <c r="B483" s="15">
        <v>19</v>
      </c>
      <c r="C483" s="13" t="s">
        <v>1004</v>
      </c>
      <c r="D483" s="13" t="s">
        <v>989</v>
      </c>
      <c r="E483" s="13" t="s">
        <v>1068</v>
      </c>
      <c r="F483" s="9" t="s">
        <v>1122</v>
      </c>
      <c r="G483" s="9" t="s">
        <v>990</v>
      </c>
      <c r="H483" s="29" t="str">
        <f t="shared" si="24"/>
        <v>22</v>
      </c>
    </row>
    <row r="484" spans="1:8" hidden="1" x14ac:dyDescent="0.35">
      <c r="A484" s="15">
        <f t="shared" si="26"/>
        <v>1910</v>
      </c>
      <c r="B484" s="15">
        <v>19</v>
      </c>
      <c r="C484" s="13" t="s">
        <v>1004</v>
      </c>
      <c r="D484" s="13" t="s">
        <v>987</v>
      </c>
      <c r="E484" s="13" t="s">
        <v>1051</v>
      </c>
      <c r="F484" s="9" t="s">
        <v>1122</v>
      </c>
      <c r="G484" s="9" t="s">
        <v>988</v>
      </c>
      <c r="H484" s="29" t="str">
        <f t="shared" si="24"/>
        <v>31</v>
      </c>
    </row>
    <row r="485" spans="1:8" hidden="1" x14ac:dyDescent="0.35">
      <c r="A485" s="15">
        <f t="shared" si="26"/>
        <v>1911</v>
      </c>
      <c r="B485" s="15">
        <v>19</v>
      </c>
      <c r="C485" s="13" t="s">
        <v>1004</v>
      </c>
      <c r="D485" s="13" t="s">
        <v>996</v>
      </c>
      <c r="E485" s="13" t="s">
        <v>1056</v>
      </c>
      <c r="F485" s="9" t="s">
        <v>60</v>
      </c>
      <c r="G485" s="9" t="s">
        <v>997</v>
      </c>
      <c r="H485" s="29" t="str">
        <f t="shared" si="24"/>
        <v>27</v>
      </c>
    </row>
    <row r="486" spans="1:8" hidden="1" x14ac:dyDescent="0.35">
      <c r="A486" s="15">
        <f t="shared" si="26"/>
        <v>1912</v>
      </c>
      <c r="B486" s="15">
        <v>19</v>
      </c>
      <c r="C486" s="13" t="s">
        <v>1004</v>
      </c>
      <c r="D486" s="13" t="s">
        <v>962</v>
      </c>
      <c r="E486" s="13" t="s">
        <v>1068</v>
      </c>
      <c r="F486" s="9" t="s">
        <v>1122</v>
      </c>
      <c r="G486" s="9" t="s">
        <v>963</v>
      </c>
      <c r="H486" s="29" t="str">
        <f t="shared" si="24"/>
        <v>30</v>
      </c>
    </row>
    <row r="487" spans="1:8" hidden="1" x14ac:dyDescent="0.35">
      <c r="A487" s="15">
        <f t="shared" si="26"/>
        <v>1913</v>
      </c>
      <c r="B487" s="15">
        <v>19</v>
      </c>
      <c r="C487" s="13" t="s">
        <v>1004</v>
      </c>
      <c r="D487" s="13" t="s">
        <v>953</v>
      </c>
      <c r="E487" s="13" t="s">
        <v>1068</v>
      </c>
      <c r="F487" s="9" t="s">
        <v>1124</v>
      </c>
      <c r="G487" s="9" t="s">
        <v>954</v>
      </c>
      <c r="H487" s="29" t="str">
        <f t="shared" si="24"/>
        <v>28</v>
      </c>
    </row>
    <row r="488" spans="1:8" hidden="1" x14ac:dyDescent="0.35">
      <c r="A488" s="15">
        <f t="shared" si="26"/>
        <v>1914</v>
      </c>
      <c r="B488" s="15">
        <v>19</v>
      </c>
      <c r="C488" s="13" t="s">
        <v>1004</v>
      </c>
      <c r="D488" s="13" t="s">
        <v>983</v>
      </c>
      <c r="E488" s="13" t="s">
        <v>1070</v>
      </c>
      <c r="F488" s="9" t="s">
        <v>60</v>
      </c>
      <c r="G488" s="9" t="s">
        <v>984</v>
      </c>
      <c r="H488" s="29" t="str">
        <f t="shared" si="24"/>
        <v>25</v>
      </c>
    </row>
    <row r="489" spans="1:8" hidden="1" x14ac:dyDescent="0.35">
      <c r="A489" s="15">
        <f t="shared" si="26"/>
        <v>1915</v>
      </c>
      <c r="B489" s="15">
        <v>19</v>
      </c>
      <c r="C489" s="13" t="s">
        <v>1004</v>
      </c>
      <c r="D489" s="13" t="s">
        <v>960</v>
      </c>
      <c r="E489" s="13" t="s">
        <v>1074</v>
      </c>
      <c r="F489" s="9" t="s">
        <v>60</v>
      </c>
      <c r="G489" s="9" t="s">
        <v>961</v>
      </c>
      <c r="H489" s="29" t="str">
        <f t="shared" si="24"/>
        <v>27</v>
      </c>
    </row>
    <row r="490" spans="1:8" hidden="1" x14ac:dyDescent="0.35">
      <c r="A490" s="15">
        <f t="shared" si="26"/>
        <v>1916</v>
      </c>
      <c r="B490" s="15">
        <v>19</v>
      </c>
      <c r="C490" s="13" t="s">
        <v>1004</v>
      </c>
      <c r="D490" s="13" t="s">
        <v>967</v>
      </c>
      <c r="E490" s="13" t="s">
        <v>1068</v>
      </c>
      <c r="F490" s="9" t="s">
        <v>60</v>
      </c>
      <c r="G490" s="9" t="s">
        <v>968</v>
      </c>
      <c r="H490" s="29" t="str">
        <f t="shared" si="24"/>
        <v>28</v>
      </c>
    </row>
    <row r="491" spans="1:8" hidden="1" x14ac:dyDescent="0.35">
      <c r="A491" s="15">
        <f t="shared" si="26"/>
        <v>1917</v>
      </c>
      <c r="B491" s="15">
        <v>19</v>
      </c>
      <c r="C491" s="13" t="s">
        <v>1004</v>
      </c>
      <c r="D491" s="13" t="s">
        <v>958</v>
      </c>
      <c r="E491" s="13" t="s">
        <v>1056</v>
      </c>
      <c r="F491" s="9" t="s">
        <v>1123</v>
      </c>
      <c r="G491" s="9" t="s">
        <v>959</v>
      </c>
      <c r="H491" s="29" t="str">
        <f t="shared" si="24"/>
        <v>28</v>
      </c>
    </row>
    <row r="492" spans="1:8" hidden="1" x14ac:dyDescent="0.35">
      <c r="A492" s="15">
        <f t="shared" si="26"/>
        <v>1918</v>
      </c>
      <c r="B492" s="15">
        <v>19</v>
      </c>
      <c r="C492" s="13" t="s">
        <v>1004</v>
      </c>
      <c r="D492" s="13" t="s">
        <v>991</v>
      </c>
      <c r="E492" s="13" t="s">
        <v>1056</v>
      </c>
      <c r="F492" s="9" t="s">
        <v>1124</v>
      </c>
      <c r="G492" s="9" t="s">
        <v>992</v>
      </c>
      <c r="H492" s="29" t="str">
        <f t="shared" si="24"/>
        <v>19</v>
      </c>
    </row>
    <row r="493" spans="1:8" hidden="1" x14ac:dyDescent="0.35">
      <c r="A493" s="15">
        <f t="shared" si="26"/>
        <v>1919</v>
      </c>
      <c r="B493" s="15">
        <v>19</v>
      </c>
      <c r="C493" s="13" t="s">
        <v>1004</v>
      </c>
      <c r="D493" s="13" t="s">
        <v>1000</v>
      </c>
      <c r="E493" s="13" t="s">
        <v>1095</v>
      </c>
      <c r="F493" s="9" t="s">
        <v>1117</v>
      </c>
      <c r="G493" s="9" t="s">
        <v>1001</v>
      </c>
      <c r="H493" s="29" t="str">
        <f t="shared" si="24"/>
        <v>40</v>
      </c>
    </row>
    <row r="494" spans="1:8" hidden="1" x14ac:dyDescent="0.35">
      <c r="A494" s="15">
        <f t="shared" si="26"/>
        <v>1920</v>
      </c>
      <c r="B494" s="15">
        <v>19</v>
      </c>
      <c r="C494" s="13" t="s">
        <v>1004</v>
      </c>
      <c r="D494" s="13" t="s">
        <v>969</v>
      </c>
      <c r="E494" s="13" t="s">
        <v>1064</v>
      </c>
      <c r="F494" s="9" t="s">
        <v>1117</v>
      </c>
      <c r="G494" s="9" t="s">
        <v>970</v>
      </c>
      <c r="H494" s="29" t="str">
        <f t="shared" si="24"/>
        <v>25</v>
      </c>
    </row>
    <row r="495" spans="1:8" hidden="1" x14ac:dyDescent="0.35">
      <c r="A495" s="15">
        <f t="shared" si="26"/>
        <v>1921</v>
      </c>
      <c r="B495" s="15">
        <v>19</v>
      </c>
      <c r="C495" s="13" t="s">
        <v>1004</v>
      </c>
      <c r="D495" s="13" t="s">
        <v>964</v>
      </c>
      <c r="E495" s="13" t="s">
        <v>1096</v>
      </c>
      <c r="F495" s="9" t="s">
        <v>1123</v>
      </c>
      <c r="G495" s="9" t="s">
        <v>965</v>
      </c>
      <c r="H495" s="29" t="str">
        <f t="shared" si="24"/>
        <v>21</v>
      </c>
    </row>
    <row r="496" spans="1:8" hidden="1" x14ac:dyDescent="0.35">
      <c r="A496" s="15">
        <f t="shared" si="26"/>
        <v>1922</v>
      </c>
      <c r="B496" s="15">
        <v>19</v>
      </c>
      <c r="C496" s="13" t="s">
        <v>1004</v>
      </c>
      <c r="D496" s="13" t="s">
        <v>957</v>
      </c>
      <c r="E496" s="13" t="s">
        <v>1068</v>
      </c>
      <c r="F496" s="9" t="s">
        <v>60</v>
      </c>
      <c r="G496" s="9" t="s">
        <v>633</v>
      </c>
      <c r="H496" s="29" t="str">
        <f t="shared" si="24"/>
        <v>28</v>
      </c>
    </row>
    <row r="497" spans="1:8" hidden="1" x14ac:dyDescent="0.35">
      <c r="A497" s="15">
        <f t="shared" si="26"/>
        <v>1923</v>
      </c>
      <c r="B497" s="15">
        <v>19</v>
      </c>
      <c r="C497" s="13" t="s">
        <v>1004</v>
      </c>
      <c r="D497" s="13" t="s">
        <v>979</v>
      </c>
      <c r="E497" s="13" t="s">
        <v>1086</v>
      </c>
      <c r="F497" s="9" t="s">
        <v>60</v>
      </c>
      <c r="G497" s="9" t="s">
        <v>980</v>
      </c>
      <c r="H497" s="29" t="str">
        <f t="shared" si="24"/>
        <v>29</v>
      </c>
    </row>
    <row r="498" spans="1:8" hidden="1" x14ac:dyDescent="0.35">
      <c r="A498" s="15">
        <f t="shared" si="26"/>
        <v>1924</v>
      </c>
      <c r="B498" s="15">
        <v>19</v>
      </c>
      <c r="C498" s="13" t="s">
        <v>1004</v>
      </c>
      <c r="D498" s="13" t="s">
        <v>966</v>
      </c>
      <c r="E498" s="13" t="s">
        <v>1063</v>
      </c>
      <c r="F498" s="9" t="s">
        <v>1118</v>
      </c>
      <c r="G498" s="9" t="s">
        <v>631</v>
      </c>
      <c r="H498" s="29" t="str">
        <f t="shared" si="24"/>
        <v>32</v>
      </c>
    </row>
    <row r="499" spans="1:8" hidden="1" x14ac:dyDescent="0.35">
      <c r="A499" s="15">
        <f t="shared" si="26"/>
        <v>1925</v>
      </c>
      <c r="B499" s="15">
        <v>19</v>
      </c>
      <c r="C499" s="13" t="s">
        <v>1004</v>
      </c>
      <c r="D499" s="13" t="s">
        <v>1002</v>
      </c>
      <c r="E499" s="13" t="s">
        <v>1068</v>
      </c>
      <c r="F499" s="9" t="s">
        <v>1122</v>
      </c>
      <c r="G499" s="9" t="s">
        <v>1003</v>
      </c>
      <c r="H499" s="29" t="str">
        <f t="shared" si="24"/>
        <v>19</v>
      </c>
    </row>
    <row r="500" spans="1:8" hidden="1" x14ac:dyDescent="0.35">
      <c r="A500" s="15">
        <f t="shared" si="26"/>
        <v>1926</v>
      </c>
      <c r="B500" s="15">
        <v>19</v>
      </c>
      <c r="C500" s="13" t="s">
        <v>1004</v>
      </c>
      <c r="D500" s="13" t="s">
        <v>981</v>
      </c>
      <c r="E500" s="13" t="s">
        <v>1070</v>
      </c>
      <c r="F500" s="9" t="s">
        <v>1122</v>
      </c>
      <c r="G500" s="9" t="s">
        <v>982</v>
      </c>
      <c r="H500" s="29" t="str">
        <f t="shared" si="24"/>
        <v>22</v>
      </c>
    </row>
    <row r="501" spans="1:8" hidden="1" x14ac:dyDescent="0.35">
      <c r="A501" s="15">
        <f t="shared" si="26"/>
        <v>1927</v>
      </c>
      <c r="B501" s="15">
        <v>19</v>
      </c>
      <c r="C501" s="13" t="s">
        <v>1004</v>
      </c>
      <c r="D501" s="13" t="s">
        <v>977</v>
      </c>
      <c r="E501" s="13" t="s">
        <v>1062</v>
      </c>
      <c r="F501" s="9" t="s">
        <v>1122</v>
      </c>
      <c r="G501" s="9" t="s">
        <v>978</v>
      </c>
      <c r="H501" s="29" t="str">
        <f t="shared" si="24"/>
        <v>30</v>
      </c>
    </row>
    <row r="502" spans="1:8" x14ac:dyDescent="0.35">
      <c r="A502" s="15">
        <v>2001</v>
      </c>
      <c r="B502" s="15">
        <v>20</v>
      </c>
      <c r="C502" s="13" t="s">
        <v>1049</v>
      </c>
      <c r="D502" s="13" t="s">
        <v>1010</v>
      </c>
      <c r="E502" s="13" t="s">
        <v>1056</v>
      </c>
      <c r="F502" s="9" t="s">
        <v>1122</v>
      </c>
      <c r="G502" s="9" t="s">
        <v>1011</v>
      </c>
      <c r="H502" s="29" t="str">
        <f t="shared" si="24"/>
        <v>24</v>
      </c>
    </row>
    <row r="503" spans="1:8" x14ac:dyDescent="0.35">
      <c r="A503" s="15">
        <f>A502+1</f>
        <v>2002</v>
      </c>
      <c r="B503" s="15">
        <v>20</v>
      </c>
      <c r="C503" s="13" t="s">
        <v>1049</v>
      </c>
      <c r="D503" s="13" t="s">
        <v>1047</v>
      </c>
      <c r="E503" s="13" t="s">
        <v>1068</v>
      </c>
      <c r="F503" s="9" t="s">
        <v>1117</v>
      </c>
      <c r="G503" s="9" t="s">
        <v>1048</v>
      </c>
      <c r="H503" s="29" t="str">
        <f t="shared" si="24"/>
        <v>32</v>
      </c>
    </row>
    <row r="504" spans="1:8" x14ac:dyDescent="0.35">
      <c r="A504" s="15">
        <f t="shared" ref="A504:A525" si="27">A503+1</f>
        <v>2003</v>
      </c>
      <c r="B504" s="15">
        <v>20</v>
      </c>
      <c r="C504" s="13" t="s">
        <v>1049</v>
      </c>
      <c r="D504" s="13" t="s">
        <v>1039</v>
      </c>
      <c r="E504" s="13" t="s">
        <v>1092</v>
      </c>
      <c r="F504" s="9" t="s">
        <v>1125</v>
      </c>
      <c r="G504" s="9" t="s">
        <v>1040</v>
      </c>
      <c r="H504" s="29" t="str">
        <f t="shared" si="24"/>
        <v>23</v>
      </c>
    </row>
    <row r="505" spans="1:8" x14ac:dyDescent="0.35">
      <c r="A505" s="15">
        <f t="shared" si="27"/>
        <v>2004</v>
      </c>
      <c r="B505" s="15">
        <v>20</v>
      </c>
      <c r="C505" s="13" t="s">
        <v>1049</v>
      </c>
      <c r="D505" s="13" t="s">
        <v>1007</v>
      </c>
      <c r="E505" s="13" t="s">
        <v>1059</v>
      </c>
      <c r="F505" s="9" t="s">
        <v>60</v>
      </c>
      <c r="G505" s="9" t="s">
        <v>1008</v>
      </c>
      <c r="H505" s="29" t="str">
        <f t="shared" si="24"/>
        <v>28</v>
      </c>
    </row>
    <row r="506" spans="1:8" x14ac:dyDescent="0.35">
      <c r="A506" s="15">
        <f t="shared" si="27"/>
        <v>2005</v>
      </c>
      <c r="B506" s="15">
        <v>20</v>
      </c>
      <c r="C506" s="13" t="s">
        <v>1049</v>
      </c>
      <c r="D506" s="13" t="s">
        <v>1044</v>
      </c>
      <c r="E506" s="13" t="s">
        <v>1069</v>
      </c>
      <c r="F506" s="9" t="s">
        <v>1123</v>
      </c>
      <c r="G506" s="9" t="s">
        <v>482</v>
      </c>
      <c r="H506" s="29" t="str">
        <f t="shared" si="24"/>
        <v>21</v>
      </c>
    </row>
    <row r="507" spans="1:8" x14ac:dyDescent="0.35">
      <c r="A507" s="15">
        <f t="shared" si="27"/>
        <v>2006</v>
      </c>
      <c r="B507" s="15">
        <v>20</v>
      </c>
      <c r="C507" s="13" t="s">
        <v>1049</v>
      </c>
      <c r="D507" s="13" t="s">
        <v>1013</v>
      </c>
      <c r="E507" s="13" t="s">
        <v>1069</v>
      </c>
      <c r="F507" s="9" t="s">
        <v>1126</v>
      </c>
      <c r="G507" s="9" t="s">
        <v>1014</v>
      </c>
      <c r="H507" s="29" t="str">
        <f t="shared" si="24"/>
        <v>23</v>
      </c>
    </row>
    <row r="508" spans="1:8" x14ac:dyDescent="0.35">
      <c r="A508" s="15">
        <f t="shared" si="27"/>
        <v>2007</v>
      </c>
      <c r="B508" s="15">
        <v>20</v>
      </c>
      <c r="C508" s="13" t="s">
        <v>1049</v>
      </c>
      <c r="D508" s="13" t="s">
        <v>1023</v>
      </c>
      <c r="E508" s="13" t="s">
        <v>1085</v>
      </c>
      <c r="F508" s="9" t="s">
        <v>1118</v>
      </c>
      <c r="G508" s="9" t="s">
        <v>1024</v>
      </c>
      <c r="H508" s="29" t="str">
        <f t="shared" si="24"/>
        <v>29</v>
      </c>
    </row>
    <row r="509" spans="1:8" x14ac:dyDescent="0.35">
      <c r="A509" s="15">
        <f t="shared" si="27"/>
        <v>2008</v>
      </c>
      <c r="B509" s="15">
        <v>20</v>
      </c>
      <c r="C509" s="13" t="s">
        <v>1049</v>
      </c>
      <c r="D509" s="13" t="s">
        <v>1025</v>
      </c>
      <c r="E509" s="13" t="s">
        <v>1060</v>
      </c>
      <c r="F509" s="9" t="s">
        <v>1126</v>
      </c>
      <c r="G509" s="9" t="s">
        <v>1026</v>
      </c>
      <c r="H509" s="29" t="str">
        <f t="shared" si="24"/>
        <v>24</v>
      </c>
    </row>
    <row r="510" spans="1:8" x14ac:dyDescent="0.35">
      <c r="A510" s="15">
        <f t="shared" si="27"/>
        <v>2009</v>
      </c>
      <c r="B510" s="15">
        <v>20</v>
      </c>
      <c r="C510" s="13" t="s">
        <v>1049</v>
      </c>
      <c r="D510" s="13" t="s">
        <v>1031</v>
      </c>
      <c r="E510" s="13" t="s">
        <v>1077</v>
      </c>
      <c r="F510" s="9" t="s">
        <v>1123</v>
      </c>
      <c r="G510" s="9" t="s">
        <v>1032</v>
      </c>
      <c r="H510" s="29" t="str">
        <f t="shared" si="24"/>
        <v>27</v>
      </c>
    </row>
    <row r="511" spans="1:8" x14ac:dyDescent="0.35">
      <c r="A511" s="15">
        <f t="shared" si="27"/>
        <v>2010</v>
      </c>
      <c r="B511" s="15">
        <v>20</v>
      </c>
      <c r="C511" s="13" t="s">
        <v>1049</v>
      </c>
      <c r="D511" s="13" t="s">
        <v>1021</v>
      </c>
      <c r="E511" s="13" t="s">
        <v>1061</v>
      </c>
      <c r="F511" s="9" t="s">
        <v>1118</v>
      </c>
      <c r="G511" s="9" t="s">
        <v>1022</v>
      </c>
      <c r="H511" s="29" t="str">
        <f t="shared" si="24"/>
        <v>28</v>
      </c>
    </row>
    <row r="512" spans="1:8" x14ac:dyDescent="0.35">
      <c r="A512" s="15">
        <f t="shared" si="27"/>
        <v>2011</v>
      </c>
      <c r="B512" s="15">
        <v>20</v>
      </c>
      <c r="C512" s="13" t="s">
        <v>1049</v>
      </c>
      <c r="D512" s="13" t="s">
        <v>1005</v>
      </c>
      <c r="E512" s="13" t="s">
        <v>1056</v>
      </c>
      <c r="F512" s="9" t="s">
        <v>1122</v>
      </c>
      <c r="G512" s="9" t="s">
        <v>1006</v>
      </c>
      <c r="H512" s="29" t="str">
        <f t="shared" si="24"/>
        <v>24</v>
      </c>
    </row>
    <row r="513" spans="1:8" x14ac:dyDescent="0.35">
      <c r="A513" s="15">
        <f t="shared" si="27"/>
        <v>2012</v>
      </c>
      <c r="B513" s="15">
        <v>20</v>
      </c>
      <c r="C513" s="13" t="s">
        <v>1049</v>
      </c>
      <c r="D513" s="13" t="s">
        <v>1015</v>
      </c>
      <c r="E513" s="13" t="s">
        <v>1092</v>
      </c>
      <c r="F513" s="9" t="s">
        <v>1118</v>
      </c>
      <c r="G513" s="9" t="s">
        <v>1016</v>
      </c>
      <c r="H513" s="29" t="str">
        <f t="shared" si="24"/>
        <v>25</v>
      </c>
    </row>
    <row r="514" spans="1:8" x14ac:dyDescent="0.35">
      <c r="A514" s="15">
        <f t="shared" si="27"/>
        <v>2013</v>
      </c>
      <c r="B514" s="15">
        <v>20</v>
      </c>
      <c r="C514" s="13" t="s">
        <v>1049</v>
      </c>
      <c r="D514" s="13" t="s">
        <v>1019</v>
      </c>
      <c r="E514" s="13" t="s">
        <v>1096</v>
      </c>
      <c r="F514" s="9" t="s">
        <v>1117</v>
      </c>
      <c r="G514" s="9" t="s">
        <v>1020</v>
      </c>
      <c r="H514" s="29" t="str">
        <f t="shared" ref="H514:H525" si="28">LEFT(G514,2)</f>
        <v>32</v>
      </c>
    </row>
    <row r="515" spans="1:8" x14ac:dyDescent="0.35">
      <c r="A515" s="15">
        <f t="shared" si="27"/>
        <v>2014</v>
      </c>
      <c r="B515" s="15">
        <v>20</v>
      </c>
      <c r="C515" s="13" t="s">
        <v>1049</v>
      </c>
      <c r="D515" s="13" t="s">
        <v>1042</v>
      </c>
      <c r="E515" s="13" t="s">
        <v>1091</v>
      </c>
      <c r="F515" s="9" t="s">
        <v>1122</v>
      </c>
      <c r="G515" s="9" t="s">
        <v>1043</v>
      </c>
      <c r="H515" s="29" t="str">
        <f t="shared" si="28"/>
        <v>23</v>
      </c>
    </row>
    <row r="516" spans="1:8" x14ac:dyDescent="0.35">
      <c r="A516" s="15">
        <f t="shared" si="27"/>
        <v>2015</v>
      </c>
      <c r="B516" s="15">
        <v>20</v>
      </c>
      <c r="C516" s="13" t="s">
        <v>1049</v>
      </c>
      <c r="D516" s="13" t="s">
        <v>1017</v>
      </c>
      <c r="E516" s="13" t="s">
        <v>1062</v>
      </c>
      <c r="F516" s="9" t="s">
        <v>1126</v>
      </c>
      <c r="G516" s="9" t="s">
        <v>1018</v>
      </c>
      <c r="H516" s="29" t="str">
        <f t="shared" si="28"/>
        <v>26</v>
      </c>
    </row>
    <row r="517" spans="1:8" x14ac:dyDescent="0.35">
      <c r="A517" s="15">
        <f t="shared" si="27"/>
        <v>2016</v>
      </c>
      <c r="B517" s="15">
        <v>20</v>
      </c>
      <c r="C517" s="13" t="s">
        <v>1049</v>
      </c>
      <c r="D517" s="13" t="s">
        <v>1009</v>
      </c>
      <c r="E517" s="13" t="s">
        <v>1113</v>
      </c>
      <c r="F517" s="9" t="s">
        <v>1124</v>
      </c>
      <c r="G517" s="9" t="s">
        <v>664</v>
      </c>
      <c r="H517" s="29" t="str">
        <f t="shared" si="28"/>
        <v>29</v>
      </c>
    </row>
    <row r="518" spans="1:8" x14ac:dyDescent="0.35">
      <c r="A518" s="15">
        <f t="shared" si="27"/>
        <v>2017</v>
      </c>
      <c r="B518" s="15">
        <v>20</v>
      </c>
      <c r="C518" s="13" t="s">
        <v>1049</v>
      </c>
      <c r="D518" s="13" t="s">
        <v>1033</v>
      </c>
      <c r="E518" s="13" t="s">
        <v>1079</v>
      </c>
      <c r="F518" s="9" t="s">
        <v>60</v>
      </c>
      <c r="G518" s="9" t="s">
        <v>1034</v>
      </c>
      <c r="H518" s="29" t="str">
        <f t="shared" si="28"/>
        <v>33</v>
      </c>
    </row>
    <row r="519" spans="1:8" x14ac:dyDescent="0.35">
      <c r="A519" s="15">
        <f t="shared" si="27"/>
        <v>2018</v>
      </c>
      <c r="B519" s="15">
        <v>20</v>
      </c>
      <c r="C519" s="13" t="s">
        <v>1049</v>
      </c>
      <c r="D519" s="13" t="s">
        <v>1035</v>
      </c>
      <c r="E519" s="13" t="s">
        <v>1096</v>
      </c>
      <c r="F519" s="9" t="s">
        <v>1126</v>
      </c>
      <c r="G519" s="9" t="s">
        <v>1036</v>
      </c>
      <c r="H519" s="29" t="str">
        <f t="shared" si="28"/>
        <v>22</v>
      </c>
    </row>
    <row r="520" spans="1:8" x14ac:dyDescent="0.35">
      <c r="A520" s="15">
        <f t="shared" si="27"/>
        <v>2019</v>
      </c>
      <c r="B520" s="15">
        <v>20</v>
      </c>
      <c r="C520" s="13" t="s">
        <v>1049</v>
      </c>
      <c r="D520" s="13" t="s">
        <v>1029</v>
      </c>
      <c r="E520" s="13" t="s">
        <v>1068</v>
      </c>
      <c r="F520" s="9" t="s">
        <v>1117</v>
      </c>
      <c r="G520" s="9" t="s">
        <v>1030</v>
      </c>
      <c r="H520" s="29" t="str">
        <f t="shared" si="28"/>
        <v>32</v>
      </c>
    </row>
    <row r="521" spans="1:8" x14ac:dyDescent="0.35">
      <c r="A521" s="15">
        <f t="shared" si="27"/>
        <v>2020</v>
      </c>
      <c r="B521" s="15">
        <v>20</v>
      </c>
      <c r="C521" s="13" t="s">
        <v>1049</v>
      </c>
      <c r="D521" s="13" t="s">
        <v>1027</v>
      </c>
      <c r="E521" s="13" t="s">
        <v>1109</v>
      </c>
      <c r="F521" s="9" t="s">
        <v>60</v>
      </c>
      <c r="G521" s="9" t="s">
        <v>1028</v>
      </c>
      <c r="H521" s="29" t="str">
        <f t="shared" si="28"/>
        <v>26</v>
      </c>
    </row>
    <row r="522" spans="1:8" x14ac:dyDescent="0.35">
      <c r="A522" s="15">
        <f t="shared" si="27"/>
        <v>2021</v>
      </c>
      <c r="B522" s="15">
        <v>20</v>
      </c>
      <c r="C522" s="13" t="s">
        <v>1049</v>
      </c>
      <c r="D522" s="13" t="s">
        <v>1045</v>
      </c>
      <c r="E522" s="13" t="s">
        <v>1052</v>
      </c>
      <c r="F522" s="9" t="s">
        <v>1118</v>
      </c>
      <c r="G522" s="9" t="s">
        <v>1046</v>
      </c>
      <c r="H522" s="29" t="str">
        <f t="shared" si="28"/>
        <v>28</v>
      </c>
    </row>
    <row r="523" spans="1:8" x14ac:dyDescent="0.35">
      <c r="A523" s="15">
        <f t="shared" si="27"/>
        <v>2022</v>
      </c>
      <c r="B523" s="15">
        <v>20</v>
      </c>
      <c r="C523" s="13" t="s">
        <v>1049</v>
      </c>
      <c r="D523" s="13" t="s">
        <v>1037</v>
      </c>
      <c r="E523" s="13" t="s">
        <v>1089</v>
      </c>
      <c r="F523" s="9" t="s">
        <v>1118</v>
      </c>
      <c r="G523" s="9" t="s">
        <v>1038</v>
      </c>
      <c r="H523" s="29" t="str">
        <f t="shared" si="28"/>
        <v>24</v>
      </c>
    </row>
    <row r="524" spans="1:8" x14ac:dyDescent="0.35">
      <c r="A524" s="15">
        <f t="shared" si="27"/>
        <v>2023</v>
      </c>
      <c r="B524" s="15">
        <v>20</v>
      </c>
      <c r="C524" s="13" t="s">
        <v>1049</v>
      </c>
      <c r="D524" s="13" t="s">
        <v>1012</v>
      </c>
      <c r="E524" s="13" t="s">
        <v>1096</v>
      </c>
      <c r="F524" s="9" t="s">
        <v>60</v>
      </c>
      <c r="G524" s="9" t="s">
        <v>18</v>
      </c>
      <c r="H524" s="29" t="str">
        <f t="shared" si="28"/>
        <v>26</v>
      </c>
    </row>
    <row r="525" spans="1:8" x14ac:dyDescent="0.35">
      <c r="A525" s="15">
        <f t="shared" si="27"/>
        <v>2024</v>
      </c>
      <c r="B525" s="15">
        <v>20</v>
      </c>
      <c r="C525" s="13" t="s">
        <v>1049</v>
      </c>
      <c r="D525" s="13" t="s">
        <v>1041</v>
      </c>
      <c r="E525" s="13" t="s">
        <v>1061</v>
      </c>
      <c r="F525" s="9" t="s">
        <v>60</v>
      </c>
      <c r="G525" s="9" t="s">
        <v>185</v>
      </c>
      <c r="H525" s="29" t="str">
        <f t="shared" si="28"/>
        <v>24</v>
      </c>
    </row>
    <row r="526" spans="1:8" x14ac:dyDescent="0.35">
      <c r="B526" s="16"/>
      <c r="C526" s="2"/>
    </row>
    <row r="527" spans="1:8" x14ac:dyDescent="0.35">
      <c r="B527" s="16"/>
      <c r="C527" s="2"/>
    </row>
  </sheetData>
  <autoFilter ref="A1:H525" xr:uid="{F4CF0A98-601C-47AB-B1FE-33A8359B13F1}">
    <filterColumn colId="2">
      <filters>
        <filter val="Wolves"/>
      </filters>
    </filterColumn>
  </autoFilter>
  <sortState xmlns:xlrd2="http://schemas.microsoft.com/office/spreadsheetml/2017/richdata2" ref="A2:AJ25">
    <sortCondition ref="A2:A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C885-6B3A-43B6-8E28-9C8C4BA28DB2}">
  <dimension ref="A1:B21"/>
  <sheetViews>
    <sheetView workbookViewId="0">
      <selection activeCell="D15" sqref="D15"/>
    </sheetView>
  </sheetViews>
  <sheetFormatPr defaultRowHeight="14.5" x14ac:dyDescent="0.35"/>
  <cols>
    <col min="2" max="2" width="14.36328125" bestFit="1" customWidth="1"/>
  </cols>
  <sheetData>
    <row r="1" spans="1:2" x14ac:dyDescent="0.35">
      <c r="A1" s="2" t="s">
        <v>1128</v>
      </c>
      <c r="B1" s="2" t="s">
        <v>1130</v>
      </c>
    </row>
    <row r="2" spans="1:2" x14ac:dyDescent="0.35">
      <c r="A2" s="2">
        <v>1</v>
      </c>
      <c r="B2" s="2" t="s">
        <v>61</v>
      </c>
    </row>
    <row r="3" spans="1:2" x14ac:dyDescent="0.35">
      <c r="A3" s="2">
        <v>2</v>
      </c>
      <c r="B3" s="2" t="s">
        <v>126</v>
      </c>
    </row>
    <row r="4" spans="1:2" x14ac:dyDescent="0.35">
      <c r="A4" s="2">
        <v>3</v>
      </c>
      <c r="B4" s="2" t="s">
        <v>1131</v>
      </c>
    </row>
    <row r="5" spans="1:2" x14ac:dyDescent="0.35">
      <c r="A5" s="2">
        <v>4</v>
      </c>
      <c r="B5" s="2" t="s">
        <v>232</v>
      </c>
    </row>
    <row r="6" spans="1:2" x14ac:dyDescent="0.35">
      <c r="A6" s="2">
        <v>5</v>
      </c>
      <c r="B6" s="2" t="s">
        <v>280</v>
      </c>
    </row>
    <row r="7" spans="1:2" x14ac:dyDescent="0.35">
      <c r="A7" s="2">
        <v>6</v>
      </c>
      <c r="B7" s="2" t="s">
        <v>330</v>
      </c>
    </row>
    <row r="8" spans="1:2" x14ac:dyDescent="0.35">
      <c r="A8" s="2">
        <v>7</v>
      </c>
      <c r="B8" s="2" t="s">
        <v>385</v>
      </c>
    </row>
    <row r="9" spans="1:2" x14ac:dyDescent="0.35">
      <c r="A9" s="2">
        <v>8</v>
      </c>
      <c r="B9" s="2" t="s">
        <v>438</v>
      </c>
    </row>
    <row r="10" spans="1:2" x14ac:dyDescent="0.35">
      <c r="A10" s="2">
        <v>9</v>
      </c>
      <c r="B10" s="2" t="s">
        <v>493</v>
      </c>
    </row>
    <row r="11" spans="1:2" x14ac:dyDescent="0.35">
      <c r="A11" s="2">
        <v>10</v>
      </c>
      <c r="B11" s="2" t="s">
        <v>543</v>
      </c>
    </row>
    <row r="12" spans="1:2" x14ac:dyDescent="0.35">
      <c r="A12" s="2">
        <v>11</v>
      </c>
      <c r="B12" s="2" t="s">
        <v>595</v>
      </c>
    </row>
    <row r="13" spans="1:2" x14ac:dyDescent="0.35">
      <c r="A13" s="2">
        <v>12</v>
      </c>
      <c r="B13" s="2" t="s">
        <v>642</v>
      </c>
    </row>
    <row r="14" spans="1:2" x14ac:dyDescent="0.35">
      <c r="A14" s="2">
        <v>13</v>
      </c>
      <c r="B14" s="2" t="s">
        <v>702</v>
      </c>
    </row>
    <row r="15" spans="1:2" x14ac:dyDescent="0.35">
      <c r="A15" s="2">
        <v>14</v>
      </c>
      <c r="B15" s="2" t="s">
        <v>749</v>
      </c>
    </row>
    <row r="16" spans="1:2" x14ac:dyDescent="0.35">
      <c r="A16" s="2">
        <v>15</v>
      </c>
      <c r="B16" s="2" t="s">
        <v>796</v>
      </c>
    </row>
    <row r="17" spans="1:2" x14ac:dyDescent="0.35">
      <c r="A17" s="2">
        <v>16</v>
      </c>
      <c r="B17" s="2" t="s">
        <v>854</v>
      </c>
    </row>
    <row r="18" spans="1:2" x14ac:dyDescent="0.35">
      <c r="A18" s="2">
        <v>17</v>
      </c>
      <c r="B18" s="2" t="s">
        <v>903</v>
      </c>
    </row>
    <row r="19" spans="1:2" x14ac:dyDescent="0.35">
      <c r="A19" s="2">
        <v>18</v>
      </c>
      <c r="B19" s="2" t="s">
        <v>952</v>
      </c>
    </row>
    <row r="20" spans="1:2" x14ac:dyDescent="0.35">
      <c r="A20" s="2">
        <v>19</v>
      </c>
      <c r="B20" s="2" t="s">
        <v>1132</v>
      </c>
    </row>
    <row r="21" spans="1:2" x14ac:dyDescent="0.35">
      <c r="A21" s="2">
        <v>20</v>
      </c>
      <c r="B21" s="2" t="s">
        <v>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F1ED-5C57-4817-ACF0-870CB9A81433}">
  <sheetPr filterMode="1"/>
  <dimension ref="A1:AE527"/>
  <sheetViews>
    <sheetView workbookViewId="0">
      <selection activeCell="I168" sqref="I168"/>
    </sheetView>
  </sheetViews>
  <sheetFormatPr defaultRowHeight="14.5" x14ac:dyDescent="0.35"/>
  <cols>
    <col min="1" max="2" width="8.7265625" style="17"/>
    <col min="3" max="3" width="22.90625" bestFit="1" customWidth="1"/>
  </cols>
  <sheetData>
    <row r="1" spans="1:31" ht="15.5" x14ac:dyDescent="0.35">
      <c r="A1" s="14" t="s">
        <v>1129</v>
      </c>
      <c r="B1" s="16" t="s">
        <v>1128</v>
      </c>
      <c r="C1" s="12" t="s">
        <v>0</v>
      </c>
      <c r="D1" s="12" t="s">
        <v>62</v>
      </c>
      <c r="E1" s="12" t="s">
        <v>3</v>
      </c>
      <c r="F1" s="12" t="s">
        <v>63</v>
      </c>
      <c r="G1" s="12" t="s">
        <v>4</v>
      </c>
      <c r="H1" s="12" t="s">
        <v>64</v>
      </c>
      <c r="I1" s="12" t="s">
        <v>65</v>
      </c>
      <c r="J1" s="12" t="s">
        <v>1190</v>
      </c>
      <c r="K1" s="12" t="s">
        <v>1191</v>
      </c>
      <c r="L1" s="12" t="s">
        <v>66</v>
      </c>
      <c r="M1" s="12" t="s">
        <v>68</v>
      </c>
      <c r="N1" s="12" t="s">
        <v>67</v>
      </c>
      <c r="O1" s="12" t="s">
        <v>69</v>
      </c>
      <c r="P1" s="12" t="s">
        <v>5</v>
      </c>
      <c r="Q1" s="12" t="s">
        <v>6</v>
      </c>
      <c r="R1" s="12" t="s">
        <v>7</v>
      </c>
      <c r="S1" s="12" t="s">
        <v>1192</v>
      </c>
      <c r="T1" s="12" t="s">
        <v>1193</v>
      </c>
      <c r="U1" s="12" t="s">
        <v>8</v>
      </c>
      <c r="V1" s="12" t="s">
        <v>1194</v>
      </c>
      <c r="W1" s="12" t="s">
        <v>1195</v>
      </c>
      <c r="X1" s="12" t="s">
        <v>1196</v>
      </c>
      <c r="Y1" s="12" t="s">
        <v>1197</v>
      </c>
      <c r="Z1" s="12" t="s">
        <v>5</v>
      </c>
      <c r="AA1" s="12" t="s">
        <v>7</v>
      </c>
      <c r="AB1" s="12" t="s">
        <v>6</v>
      </c>
      <c r="AC1" s="12"/>
      <c r="AD1" s="3"/>
    </row>
    <row r="2" spans="1:31" hidden="1" x14ac:dyDescent="0.35">
      <c r="A2" s="15">
        <v>101</v>
      </c>
      <c r="B2" s="16">
        <v>1</v>
      </c>
      <c r="C2" s="13" t="s">
        <v>49</v>
      </c>
      <c r="D2" s="10">
        <v>1</v>
      </c>
      <c r="E2" s="10">
        <v>0</v>
      </c>
      <c r="F2" s="10">
        <v>1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/>
      <c r="AD2" s="4"/>
      <c r="AE2" s="1"/>
    </row>
    <row r="3" spans="1:31" hidden="1" x14ac:dyDescent="0.35">
      <c r="A3" s="15">
        <f>A2+1</f>
        <v>102</v>
      </c>
      <c r="B3" s="16">
        <v>1</v>
      </c>
      <c r="C3" s="13" t="s">
        <v>39</v>
      </c>
      <c r="D3" s="10">
        <v>1</v>
      </c>
      <c r="E3" s="10">
        <v>1</v>
      </c>
      <c r="F3" s="10">
        <v>70</v>
      </c>
      <c r="G3" s="10">
        <v>0.8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1</v>
      </c>
      <c r="T3" s="10">
        <v>4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0.02</v>
      </c>
      <c r="AA3" s="10">
        <v>0.06</v>
      </c>
      <c r="AB3" s="10">
        <v>0.02</v>
      </c>
      <c r="AC3" s="10"/>
      <c r="AD3" s="2"/>
      <c r="AE3" s="6"/>
    </row>
    <row r="4" spans="1:31" hidden="1" x14ac:dyDescent="0.35">
      <c r="A4" s="15">
        <f t="shared" ref="A4:A27" si="0">A3+1</f>
        <v>103</v>
      </c>
      <c r="B4" s="16">
        <v>1</v>
      </c>
      <c r="C4" s="13" t="s">
        <v>23</v>
      </c>
      <c r="D4" s="10">
        <v>6</v>
      </c>
      <c r="E4" s="10">
        <v>5</v>
      </c>
      <c r="F4" s="10">
        <v>436</v>
      </c>
      <c r="G4" s="10">
        <v>4.8</v>
      </c>
      <c r="H4" s="10">
        <v>2</v>
      </c>
      <c r="I4" s="10">
        <v>0</v>
      </c>
      <c r="J4" s="10">
        <v>2</v>
      </c>
      <c r="K4" s="10">
        <v>1</v>
      </c>
      <c r="L4" s="10">
        <v>1</v>
      </c>
      <c r="M4" s="10">
        <v>1</v>
      </c>
      <c r="N4" s="10">
        <v>0</v>
      </c>
      <c r="O4" s="10">
        <v>0</v>
      </c>
      <c r="P4" s="10">
        <v>1.3</v>
      </c>
      <c r="Q4" s="10">
        <v>0.5</v>
      </c>
      <c r="R4" s="10">
        <v>1.4</v>
      </c>
      <c r="S4" s="10">
        <v>25</v>
      </c>
      <c r="T4" s="10">
        <v>11</v>
      </c>
      <c r="U4" s="10">
        <v>68</v>
      </c>
      <c r="V4" s="10">
        <v>0.41</v>
      </c>
      <c r="W4" s="10">
        <v>0</v>
      </c>
      <c r="X4" s="10">
        <v>0.41</v>
      </c>
      <c r="Y4" s="10">
        <v>0.21</v>
      </c>
      <c r="Z4" s="10">
        <v>0.27</v>
      </c>
      <c r="AA4" s="10">
        <v>0.28999999999999998</v>
      </c>
      <c r="AB4" s="10">
        <v>0.1</v>
      </c>
      <c r="AC4" s="10"/>
      <c r="AD4" s="2"/>
    </row>
    <row r="5" spans="1:31" hidden="1" x14ac:dyDescent="0.35">
      <c r="A5" s="15">
        <f t="shared" si="0"/>
        <v>104</v>
      </c>
      <c r="B5" s="16">
        <v>1</v>
      </c>
      <c r="C5" s="13" t="s">
        <v>57</v>
      </c>
      <c r="D5" s="10">
        <v>0</v>
      </c>
      <c r="E5" s="10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/>
      <c r="AD5" s="2"/>
    </row>
    <row r="6" spans="1:31" hidden="1" x14ac:dyDescent="0.35">
      <c r="A6" s="15">
        <f t="shared" si="0"/>
        <v>105</v>
      </c>
      <c r="B6" s="16">
        <v>1</v>
      </c>
      <c r="C6" s="13" t="s">
        <v>35</v>
      </c>
      <c r="D6" s="10">
        <v>5</v>
      </c>
      <c r="E6" s="10">
        <v>2</v>
      </c>
      <c r="F6" s="10">
        <v>249</v>
      </c>
      <c r="G6" s="10">
        <v>2.8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2</v>
      </c>
      <c r="T6" s="10">
        <v>5</v>
      </c>
      <c r="U6" s="10">
        <v>1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/>
      <c r="AD6" s="2"/>
    </row>
    <row r="7" spans="1:31" hidden="1" x14ac:dyDescent="0.35">
      <c r="A7" s="15">
        <f t="shared" si="0"/>
        <v>106</v>
      </c>
      <c r="B7" s="16">
        <v>1</v>
      </c>
      <c r="C7" s="13" t="s">
        <v>10</v>
      </c>
      <c r="D7" s="10">
        <v>8</v>
      </c>
      <c r="E7" s="10">
        <v>8</v>
      </c>
      <c r="F7" s="10">
        <v>720</v>
      </c>
      <c r="G7" s="10">
        <v>8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</v>
      </c>
      <c r="O7" s="10">
        <v>0</v>
      </c>
      <c r="P7" s="10">
        <v>0</v>
      </c>
      <c r="Q7" s="10">
        <v>0</v>
      </c>
      <c r="R7" s="10">
        <v>0.1</v>
      </c>
      <c r="S7" s="10">
        <v>0</v>
      </c>
      <c r="T7" s="10">
        <v>3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0.01</v>
      </c>
      <c r="AB7" s="10">
        <v>0</v>
      </c>
      <c r="AC7" s="10"/>
      <c r="AD7" s="2"/>
    </row>
    <row r="8" spans="1:31" hidden="1" x14ac:dyDescent="0.35">
      <c r="A8" s="15">
        <f t="shared" si="0"/>
        <v>107</v>
      </c>
      <c r="B8" s="16">
        <v>1</v>
      </c>
      <c r="C8" s="13" t="s">
        <v>17</v>
      </c>
      <c r="D8" s="10">
        <v>8</v>
      </c>
      <c r="E8" s="10">
        <v>7</v>
      </c>
      <c r="F8" s="10">
        <v>633</v>
      </c>
      <c r="G8" s="10">
        <v>7</v>
      </c>
      <c r="H8" s="10">
        <v>1</v>
      </c>
      <c r="I8" s="10">
        <v>2</v>
      </c>
      <c r="J8" s="10">
        <v>3</v>
      </c>
      <c r="K8" s="10">
        <v>1</v>
      </c>
      <c r="L8" s="10">
        <v>0</v>
      </c>
      <c r="M8" s="10">
        <v>0</v>
      </c>
      <c r="N8" s="10">
        <v>0</v>
      </c>
      <c r="O8" s="10">
        <v>0</v>
      </c>
      <c r="P8" s="10">
        <v>0.5</v>
      </c>
      <c r="Q8" s="10">
        <v>0.5</v>
      </c>
      <c r="R8" s="10">
        <v>1.2</v>
      </c>
      <c r="S8" s="10">
        <v>22</v>
      </c>
      <c r="T8" s="10">
        <v>54</v>
      </c>
      <c r="U8" s="10">
        <v>15</v>
      </c>
      <c r="V8" s="10">
        <v>0.14000000000000001</v>
      </c>
      <c r="W8" s="10">
        <v>0.28000000000000003</v>
      </c>
      <c r="X8" s="10">
        <v>0.43</v>
      </c>
      <c r="Y8" s="10">
        <v>0.14000000000000001</v>
      </c>
      <c r="Z8" s="10">
        <v>7.0000000000000007E-2</v>
      </c>
      <c r="AA8" s="10">
        <v>0.17</v>
      </c>
      <c r="AB8" s="10">
        <v>7.0000000000000007E-2</v>
      </c>
      <c r="AC8" s="10"/>
      <c r="AD8" s="2"/>
    </row>
    <row r="9" spans="1:31" hidden="1" x14ac:dyDescent="0.35">
      <c r="A9" s="15">
        <f t="shared" si="0"/>
        <v>108</v>
      </c>
      <c r="B9" s="16">
        <v>1</v>
      </c>
      <c r="C9" s="13" t="s">
        <v>29</v>
      </c>
      <c r="D9" s="10">
        <v>5</v>
      </c>
      <c r="E9" s="10">
        <v>4</v>
      </c>
      <c r="F9" s="10">
        <v>304</v>
      </c>
      <c r="G9" s="10">
        <v>3.4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0.3</v>
      </c>
      <c r="Q9" s="10">
        <v>0.3</v>
      </c>
      <c r="R9" s="10">
        <v>0.8</v>
      </c>
      <c r="S9" s="10">
        <v>18</v>
      </c>
      <c r="T9" s="10">
        <v>9</v>
      </c>
      <c r="U9" s="10">
        <v>44</v>
      </c>
      <c r="V9" s="10">
        <v>0</v>
      </c>
      <c r="W9" s="10">
        <v>0</v>
      </c>
      <c r="X9" s="10">
        <v>0</v>
      </c>
      <c r="Y9" s="10">
        <v>0</v>
      </c>
      <c r="Z9" s="10">
        <v>0.09</v>
      </c>
      <c r="AA9" s="10">
        <v>0.25</v>
      </c>
      <c r="AB9" s="10">
        <v>0.09</v>
      </c>
      <c r="AC9" s="10"/>
      <c r="AD9" s="2"/>
    </row>
    <row r="10" spans="1:31" hidden="1" x14ac:dyDescent="0.35">
      <c r="A10" s="15">
        <f t="shared" si="0"/>
        <v>109</v>
      </c>
      <c r="B10" s="16">
        <v>1</v>
      </c>
      <c r="C10" s="13" t="s">
        <v>41</v>
      </c>
      <c r="D10" s="10">
        <v>4</v>
      </c>
      <c r="E10" s="10">
        <v>0</v>
      </c>
      <c r="F10" s="10">
        <v>149</v>
      </c>
      <c r="G10" s="10">
        <v>1.7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0.2</v>
      </c>
      <c r="Q10" s="10">
        <v>0.2</v>
      </c>
      <c r="R10" s="10">
        <v>0</v>
      </c>
      <c r="S10" s="10">
        <v>6</v>
      </c>
      <c r="T10" s="10">
        <v>13</v>
      </c>
      <c r="U10" s="10">
        <v>6</v>
      </c>
      <c r="V10" s="10">
        <v>0</v>
      </c>
      <c r="W10" s="10">
        <v>0</v>
      </c>
      <c r="X10" s="10">
        <v>0</v>
      </c>
      <c r="Y10" s="10">
        <v>0</v>
      </c>
      <c r="Z10" s="10">
        <v>0.11</v>
      </c>
      <c r="AA10" s="10">
        <v>0.03</v>
      </c>
      <c r="AB10" s="10">
        <v>0.11</v>
      </c>
      <c r="AC10" s="10"/>
      <c r="AD10" s="2"/>
    </row>
    <row r="11" spans="1:31" hidden="1" x14ac:dyDescent="0.35">
      <c r="A11" s="15">
        <f t="shared" si="0"/>
        <v>110</v>
      </c>
      <c r="B11" s="16">
        <v>1</v>
      </c>
      <c r="C11" s="13" t="s">
        <v>9</v>
      </c>
      <c r="D11" s="10">
        <v>8</v>
      </c>
      <c r="E11" s="10">
        <v>8</v>
      </c>
      <c r="F11" s="10">
        <v>720</v>
      </c>
      <c r="G11" s="10">
        <v>8</v>
      </c>
      <c r="H11" s="10">
        <v>1</v>
      </c>
      <c r="I11" s="10">
        <v>1</v>
      </c>
      <c r="J11" s="10">
        <v>2</v>
      </c>
      <c r="K11" s="10">
        <v>1</v>
      </c>
      <c r="L11" s="10">
        <v>0</v>
      </c>
      <c r="M11" s="10">
        <v>0</v>
      </c>
      <c r="N11" s="10">
        <v>0</v>
      </c>
      <c r="O11" s="10">
        <v>0</v>
      </c>
      <c r="P11" s="10">
        <v>0.7</v>
      </c>
      <c r="Q11" s="10">
        <v>0.7</v>
      </c>
      <c r="R11" s="10">
        <v>0.3</v>
      </c>
      <c r="S11" s="10">
        <v>6</v>
      </c>
      <c r="T11" s="10">
        <v>32</v>
      </c>
      <c r="U11" s="10">
        <v>1</v>
      </c>
      <c r="V11" s="10">
        <v>0.12</v>
      </c>
      <c r="W11" s="10">
        <v>0.12</v>
      </c>
      <c r="X11" s="10">
        <v>0.25</v>
      </c>
      <c r="Y11" s="10">
        <v>0.12</v>
      </c>
      <c r="Z11" s="10">
        <v>0.09</v>
      </c>
      <c r="AA11" s="10">
        <v>0.04</v>
      </c>
      <c r="AB11" s="10">
        <v>0.09</v>
      </c>
      <c r="AC11" s="10"/>
      <c r="AD11" s="2"/>
    </row>
    <row r="12" spans="1:31" hidden="1" x14ac:dyDescent="0.35">
      <c r="A12" s="15">
        <f t="shared" si="0"/>
        <v>111</v>
      </c>
      <c r="B12" s="16">
        <v>1</v>
      </c>
      <c r="C12" s="13" t="s">
        <v>37</v>
      </c>
      <c r="D12" s="10">
        <v>7</v>
      </c>
      <c r="E12" s="10">
        <v>2</v>
      </c>
      <c r="F12" s="10">
        <v>195</v>
      </c>
      <c r="G12" s="10">
        <v>2.2000000000000002</v>
      </c>
      <c r="H12" s="10">
        <v>1</v>
      </c>
      <c r="I12" s="10">
        <v>0</v>
      </c>
      <c r="J12" s="10">
        <v>1</v>
      </c>
      <c r="K12" s="10">
        <v>1</v>
      </c>
      <c r="L12" s="10">
        <v>0</v>
      </c>
      <c r="M12" s="10">
        <v>0</v>
      </c>
      <c r="N12" s="10">
        <v>0</v>
      </c>
      <c r="O12" s="10">
        <v>0</v>
      </c>
      <c r="P12" s="10">
        <v>0.8</v>
      </c>
      <c r="Q12" s="10">
        <v>0.8</v>
      </c>
      <c r="R12" s="10">
        <v>0.1</v>
      </c>
      <c r="S12" s="10">
        <v>6</v>
      </c>
      <c r="T12" s="10">
        <v>5</v>
      </c>
      <c r="U12" s="10">
        <v>8</v>
      </c>
      <c r="V12" s="10">
        <v>0.46</v>
      </c>
      <c r="W12" s="10">
        <v>0</v>
      </c>
      <c r="X12" s="10">
        <v>0.46</v>
      </c>
      <c r="Y12" s="10">
        <v>0.46</v>
      </c>
      <c r="Z12" s="10">
        <v>0.36</v>
      </c>
      <c r="AA12" s="10">
        <v>0.06</v>
      </c>
      <c r="AB12" s="10">
        <v>0.36</v>
      </c>
      <c r="AC12" s="10"/>
      <c r="AD12" s="2"/>
    </row>
    <row r="13" spans="1:31" hidden="1" x14ac:dyDescent="0.35">
      <c r="A13" s="15">
        <f t="shared" si="0"/>
        <v>112</v>
      </c>
      <c r="B13" s="16">
        <v>1</v>
      </c>
      <c r="C13" s="13" t="s">
        <v>55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/>
      <c r="AD13" s="2"/>
    </row>
    <row r="14" spans="1:31" hidden="1" x14ac:dyDescent="0.35">
      <c r="A14" s="15">
        <f t="shared" si="0"/>
        <v>113</v>
      </c>
      <c r="B14" s="16">
        <v>1</v>
      </c>
      <c r="C14" s="13" t="s">
        <v>19</v>
      </c>
      <c r="D14" s="10">
        <v>8</v>
      </c>
      <c r="E14" s="10">
        <v>7</v>
      </c>
      <c r="F14" s="10">
        <v>612</v>
      </c>
      <c r="G14" s="10">
        <v>6.8</v>
      </c>
      <c r="H14" s="10">
        <v>2</v>
      </c>
      <c r="I14" s="10">
        <v>1</v>
      </c>
      <c r="J14" s="10">
        <v>3</v>
      </c>
      <c r="K14" s="10">
        <v>2</v>
      </c>
      <c r="L14" s="10">
        <v>0</v>
      </c>
      <c r="M14" s="10">
        <v>0</v>
      </c>
      <c r="N14" s="10">
        <v>2</v>
      </c>
      <c r="O14" s="10">
        <v>0</v>
      </c>
      <c r="P14" s="10">
        <v>1.8</v>
      </c>
      <c r="Q14" s="10">
        <v>1.8</v>
      </c>
      <c r="R14" s="10">
        <v>0.6</v>
      </c>
      <c r="S14" s="10">
        <v>14</v>
      </c>
      <c r="T14" s="10">
        <v>47</v>
      </c>
      <c r="U14" s="10">
        <v>37</v>
      </c>
      <c r="V14" s="10">
        <v>0.28999999999999998</v>
      </c>
      <c r="W14" s="10">
        <v>0.15</v>
      </c>
      <c r="X14" s="10">
        <v>0.44</v>
      </c>
      <c r="Y14" s="10">
        <v>0.28999999999999998</v>
      </c>
      <c r="Z14" s="10">
        <v>0.26</v>
      </c>
      <c r="AA14" s="10">
        <v>0.08</v>
      </c>
      <c r="AB14" s="10">
        <v>0.26</v>
      </c>
      <c r="AC14" s="10"/>
      <c r="AD14" s="2"/>
    </row>
    <row r="15" spans="1:31" hidden="1" x14ac:dyDescent="0.35">
      <c r="A15" s="15">
        <f t="shared" si="0"/>
        <v>114</v>
      </c>
      <c r="B15" s="16">
        <v>1</v>
      </c>
      <c r="C15" s="13" t="s">
        <v>45</v>
      </c>
      <c r="D15" s="10">
        <v>1</v>
      </c>
      <c r="E15" s="10">
        <v>0</v>
      </c>
      <c r="F15" s="10">
        <v>31</v>
      </c>
      <c r="G15" s="10">
        <v>0.3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1</v>
      </c>
      <c r="T15" s="10">
        <v>2</v>
      </c>
      <c r="U15" s="10">
        <v>2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/>
      <c r="AD15" s="2"/>
    </row>
    <row r="16" spans="1:31" hidden="1" x14ac:dyDescent="0.35">
      <c r="A16" s="15">
        <f t="shared" si="0"/>
        <v>115</v>
      </c>
      <c r="B16" s="16">
        <v>1</v>
      </c>
      <c r="C16" s="13" t="s">
        <v>51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/>
      <c r="AD16" s="2"/>
    </row>
    <row r="17" spans="1:31" hidden="1" x14ac:dyDescent="0.35">
      <c r="A17" s="15">
        <f t="shared" si="0"/>
        <v>116</v>
      </c>
      <c r="B17" s="16">
        <v>1</v>
      </c>
      <c r="C17" s="13" t="s">
        <v>31</v>
      </c>
      <c r="D17" s="10">
        <v>6</v>
      </c>
      <c r="E17" s="10">
        <v>4</v>
      </c>
      <c r="F17" s="10">
        <v>203</v>
      </c>
      <c r="G17" s="10">
        <v>2.2999999999999998</v>
      </c>
      <c r="H17" s="10">
        <v>0</v>
      </c>
      <c r="I17" s="10">
        <v>1</v>
      </c>
      <c r="J17" s="10">
        <v>1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0.1</v>
      </c>
      <c r="Q17" s="10">
        <v>0.1</v>
      </c>
      <c r="R17" s="10">
        <v>0.5</v>
      </c>
      <c r="S17" s="10">
        <v>10</v>
      </c>
      <c r="T17" s="10">
        <v>26</v>
      </c>
      <c r="U17" s="10">
        <v>5</v>
      </c>
      <c r="V17" s="10">
        <v>0</v>
      </c>
      <c r="W17" s="10">
        <v>0.44</v>
      </c>
      <c r="X17" s="10">
        <v>0.44</v>
      </c>
      <c r="Y17" s="10">
        <v>0</v>
      </c>
      <c r="Z17" s="10">
        <v>0.06</v>
      </c>
      <c r="AA17" s="10">
        <v>0.2</v>
      </c>
      <c r="AB17" s="10">
        <v>0.06</v>
      </c>
      <c r="AC17" s="10"/>
      <c r="AD17" s="2"/>
    </row>
    <row r="18" spans="1:31" hidden="1" x14ac:dyDescent="0.35">
      <c r="A18" s="15">
        <f t="shared" si="0"/>
        <v>117</v>
      </c>
      <c r="B18" s="16">
        <v>1</v>
      </c>
      <c r="C18" s="13" t="s">
        <v>27</v>
      </c>
      <c r="D18" s="10">
        <v>6</v>
      </c>
      <c r="E18" s="10">
        <v>4</v>
      </c>
      <c r="F18" s="10">
        <v>373</v>
      </c>
      <c r="G18" s="10">
        <v>4.0999999999999996</v>
      </c>
      <c r="H18" s="10">
        <v>0</v>
      </c>
      <c r="I18" s="10">
        <v>2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1.1000000000000001</v>
      </c>
      <c r="Q18" s="10">
        <v>1.1000000000000001</v>
      </c>
      <c r="R18" s="10">
        <v>0.8</v>
      </c>
      <c r="S18" s="10">
        <v>10</v>
      </c>
      <c r="T18" s="10">
        <v>22</v>
      </c>
      <c r="U18" s="10">
        <v>27</v>
      </c>
      <c r="V18" s="10">
        <v>0</v>
      </c>
      <c r="W18" s="10">
        <v>0.48</v>
      </c>
      <c r="X18" s="10">
        <v>0.48</v>
      </c>
      <c r="Y18" s="10">
        <v>0</v>
      </c>
      <c r="Z18" s="10">
        <v>0.26</v>
      </c>
      <c r="AA18" s="10">
        <v>0.19</v>
      </c>
      <c r="AB18" s="10">
        <v>0.26</v>
      </c>
      <c r="AC18" s="10"/>
      <c r="AD18" s="2"/>
    </row>
    <row r="19" spans="1:31" hidden="1" x14ac:dyDescent="0.35">
      <c r="A19" s="15">
        <f t="shared" si="0"/>
        <v>118</v>
      </c>
      <c r="B19" s="16">
        <v>1</v>
      </c>
      <c r="C19" s="13" t="s">
        <v>15</v>
      </c>
      <c r="D19" s="10">
        <v>8</v>
      </c>
      <c r="E19" s="10">
        <v>7</v>
      </c>
      <c r="F19" s="10">
        <v>681</v>
      </c>
      <c r="G19" s="10">
        <v>7.6</v>
      </c>
      <c r="H19" s="10">
        <v>2</v>
      </c>
      <c r="I19" s="10">
        <v>0</v>
      </c>
      <c r="J19" s="10">
        <v>2</v>
      </c>
      <c r="K19" s="10">
        <v>2</v>
      </c>
      <c r="L19" s="10">
        <v>0</v>
      </c>
      <c r="M19" s="10">
        <v>0</v>
      </c>
      <c r="N19" s="10">
        <v>1</v>
      </c>
      <c r="O19" s="10">
        <v>0</v>
      </c>
      <c r="P19" s="10">
        <v>0.3</v>
      </c>
      <c r="Q19" s="10">
        <v>0.3</v>
      </c>
      <c r="R19" s="10">
        <v>0.7</v>
      </c>
      <c r="S19" s="10">
        <v>7</v>
      </c>
      <c r="T19" s="10">
        <v>48</v>
      </c>
      <c r="U19" s="10">
        <v>6</v>
      </c>
      <c r="V19" s="10">
        <v>0.26</v>
      </c>
      <c r="W19" s="10">
        <v>0</v>
      </c>
      <c r="X19" s="10">
        <v>0.26</v>
      </c>
      <c r="Y19" s="10">
        <v>0.26</v>
      </c>
      <c r="Z19" s="10">
        <v>0.04</v>
      </c>
      <c r="AA19" s="10">
        <v>0.09</v>
      </c>
      <c r="AB19" s="10">
        <v>0.04</v>
      </c>
      <c r="AC19" s="10"/>
      <c r="AD19" s="2"/>
    </row>
    <row r="20" spans="1:31" hidden="1" x14ac:dyDescent="0.35">
      <c r="A20" s="15">
        <f t="shared" si="0"/>
        <v>119</v>
      </c>
      <c r="B20" s="16">
        <v>1</v>
      </c>
      <c r="C20" s="13" t="s">
        <v>47</v>
      </c>
      <c r="D20" s="10">
        <v>2</v>
      </c>
      <c r="E20" s="10">
        <v>0</v>
      </c>
      <c r="F20" s="10">
        <v>29</v>
      </c>
      <c r="G20" s="10">
        <v>0.3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0.1</v>
      </c>
      <c r="Q20" s="10">
        <v>0.1</v>
      </c>
      <c r="R20" s="10">
        <v>0</v>
      </c>
      <c r="S20" s="10">
        <v>4</v>
      </c>
      <c r="T20" s="10">
        <v>0</v>
      </c>
      <c r="U20" s="10">
        <v>6</v>
      </c>
      <c r="V20" s="10">
        <v>0</v>
      </c>
      <c r="W20" s="10">
        <v>0</v>
      </c>
      <c r="X20" s="10">
        <v>0</v>
      </c>
      <c r="Y20" s="10">
        <v>0</v>
      </c>
      <c r="Z20" s="10">
        <v>0.43</v>
      </c>
      <c r="AA20" s="10">
        <v>0</v>
      </c>
      <c r="AB20" s="10">
        <v>0.43</v>
      </c>
      <c r="AC20" s="10"/>
      <c r="AD20" s="2"/>
    </row>
    <row r="21" spans="1:31" hidden="1" x14ac:dyDescent="0.35">
      <c r="A21" s="15">
        <f t="shared" si="0"/>
        <v>120</v>
      </c>
      <c r="B21" s="16">
        <v>1</v>
      </c>
      <c r="C21" s="13" t="s">
        <v>33</v>
      </c>
      <c r="D21" s="10">
        <v>7</v>
      </c>
      <c r="E21" s="10">
        <v>3</v>
      </c>
      <c r="F21" s="10">
        <v>274</v>
      </c>
      <c r="G21" s="10">
        <v>3</v>
      </c>
      <c r="H21" s="10">
        <v>1</v>
      </c>
      <c r="I21" s="10">
        <v>0</v>
      </c>
      <c r="J21" s="10">
        <v>1</v>
      </c>
      <c r="K21" s="10">
        <v>1</v>
      </c>
      <c r="L21" s="10">
        <v>0</v>
      </c>
      <c r="M21" s="10">
        <v>0</v>
      </c>
      <c r="N21" s="10">
        <v>0</v>
      </c>
      <c r="O21" s="10">
        <v>0</v>
      </c>
      <c r="P21" s="10">
        <v>0.3</v>
      </c>
      <c r="Q21" s="10">
        <v>0.3</v>
      </c>
      <c r="R21" s="10">
        <v>0.1</v>
      </c>
      <c r="S21" s="10">
        <v>6</v>
      </c>
      <c r="T21" s="10">
        <v>11</v>
      </c>
      <c r="U21" s="10">
        <v>10</v>
      </c>
      <c r="V21" s="10">
        <v>0.33</v>
      </c>
      <c r="W21" s="10">
        <v>0</v>
      </c>
      <c r="X21" s="10">
        <v>0.33</v>
      </c>
      <c r="Y21" s="10">
        <v>0.33</v>
      </c>
      <c r="Z21" s="10">
        <v>0.11</v>
      </c>
      <c r="AA21" s="10">
        <v>0.03</v>
      </c>
      <c r="AB21" s="10">
        <v>0.11</v>
      </c>
      <c r="AC21" s="10"/>
      <c r="AD21" s="2"/>
    </row>
    <row r="22" spans="1:31" hidden="1" x14ac:dyDescent="0.35">
      <c r="A22" s="15">
        <f t="shared" si="0"/>
        <v>121</v>
      </c>
      <c r="B22" s="16">
        <v>1</v>
      </c>
      <c r="C22" s="13" t="s">
        <v>43</v>
      </c>
      <c r="D22" s="10">
        <v>5</v>
      </c>
      <c r="E22" s="10">
        <v>0</v>
      </c>
      <c r="F22" s="10">
        <v>88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1</v>
      </c>
      <c r="O22" s="10">
        <v>0</v>
      </c>
      <c r="P22" s="10">
        <v>0</v>
      </c>
      <c r="Q22" s="10">
        <v>0</v>
      </c>
      <c r="R22" s="10">
        <v>0</v>
      </c>
      <c r="S22" s="10">
        <v>1</v>
      </c>
      <c r="T22" s="10">
        <v>1</v>
      </c>
      <c r="U22" s="10">
        <v>5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/>
      <c r="AD22" s="2"/>
    </row>
    <row r="23" spans="1:31" hidden="1" x14ac:dyDescent="0.35">
      <c r="A23" s="15">
        <f t="shared" si="0"/>
        <v>122</v>
      </c>
      <c r="B23" s="16">
        <v>1</v>
      </c>
      <c r="C23" s="13" t="s">
        <v>25</v>
      </c>
      <c r="D23" s="10">
        <v>6</v>
      </c>
      <c r="E23" s="10">
        <v>4</v>
      </c>
      <c r="F23" s="10">
        <v>374</v>
      </c>
      <c r="G23" s="10">
        <v>4.2</v>
      </c>
      <c r="H23" s="10">
        <v>1</v>
      </c>
      <c r="I23" s="10">
        <v>1</v>
      </c>
      <c r="J23" s="10">
        <v>2</v>
      </c>
      <c r="K23" s="10">
        <v>1</v>
      </c>
      <c r="L23" s="10">
        <v>0</v>
      </c>
      <c r="M23" s="10">
        <v>0</v>
      </c>
      <c r="N23" s="10">
        <v>0</v>
      </c>
      <c r="O23" s="10">
        <v>0</v>
      </c>
      <c r="P23" s="10">
        <v>1.2</v>
      </c>
      <c r="Q23" s="10">
        <v>1.2</v>
      </c>
      <c r="R23" s="10">
        <v>0.3</v>
      </c>
      <c r="S23" s="10">
        <v>11</v>
      </c>
      <c r="T23" s="10">
        <v>13</v>
      </c>
      <c r="U23" s="10">
        <v>43</v>
      </c>
      <c r="V23" s="10">
        <v>0.24</v>
      </c>
      <c r="W23" s="10">
        <v>0.24</v>
      </c>
      <c r="X23" s="10">
        <v>0.48</v>
      </c>
      <c r="Y23" s="10">
        <v>0.24</v>
      </c>
      <c r="Z23" s="10">
        <v>0.28999999999999998</v>
      </c>
      <c r="AA23" s="10">
        <v>0.08</v>
      </c>
      <c r="AB23" s="10">
        <v>0.28999999999999998</v>
      </c>
      <c r="AC23" s="10"/>
      <c r="AD23" s="5"/>
    </row>
    <row r="24" spans="1:31" hidden="1" x14ac:dyDescent="0.35">
      <c r="A24" s="15">
        <f t="shared" si="0"/>
        <v>123</v>
      </c>
      <c r="B24" s="16">
        <v>1</v>
      </c>
      <c r="C24" s="13" t="s">
        <v>53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/>
      <c r="AD24" s="5"/>
      <c r="AE24" s="6"/>
    </row>
    <row r="25" spans="1:31" hidden="1" x14ac:dyDescent="0.35">
      <c r="A25" s="15">
        <f t="shared" si="0"/>
        <v>124</v>
      </c>
      <c r="B25" s="16">
        <v>1</v>
      </c>
      <c r="C25" s="13" t="s">
        <v>13</v>
      </c>
      <c r="D25" s="10">
        <v>8</v>
      </c>
      <c r="E25" s="10">
        <v>8</v>
      </c>
      <c r="F25" s="10">
        <v>614</v>
      </c>
      <c r="G25" s="10">
        <v>6.8</v>
      </c>
      <c r="H25" s="10">
        <v>1</v>
      </c>
      <c r="I25" s="10">
        <v>2</v>
      </c>
      <c r="J25" s="10">
        <v>3</v>
      </c>
      <c r="K25" s="10">
        <v>1</v>
      </c>
      <c r="L25" s="10">
        <v>0</v>
      </c>
      <c r="M25" s="10">
        <v>0</v>
      </c>
      <c r="N25" s="10">
        <v>3</v>
      </c>
      <c r="O25" s="10">
        <v>0</v>
      </c>
      <c r="P25" s="10">
        <v>1.9</v>
      </c>
      <c r="Q25" s="10">
        <v>1.9</v>
      </c>
      <c r="R25" s="10">
        <v>0.5</v>
      </c>
      <c r="S25" s="10">
        <v>16</v>
      </c>
      <c r="T25" s="10">
        <v>25</v>
      </c>
      <c r="U25" s="10">
        <v>29</v>
      </c>
      <c r="V25" s="10">
        <v>0.15</v>
      </c>
      <c r="W25" s="10">
        <v>0.28999999999999998</v>
      </c>
      <c r="X25" s="10">
        <v>0.44</v>
      </c>
      <c r="Y25" s="10">
        <v>0.15</v>
      </c>
      <c r="Z25" s="10">
        <v>0.27</v>
      </c>
      <c r="AA25" s="10">
        <v>7.0000000000000007E-2</v>
      </c>
      <c r="AB25" s="10">
        <v>0.27</v>
      </c>
      <c r="AC25" s="10"/>
      <c r="AD25" s="5"/>
      <c r="AE25" s="6"/>
    </row>
    <row r="26" spans="1:31" hidden="1" x14ac:dyDescent="0.35">
      <c r="A26" s="15">
        <f t="shared" si="0"/>
        <v>125</v>
      </c>
      <c r="B26" s="16">
        <v>1</v>
      </c>
      <c r="C26" s="13" t="s">
        <v>11</v>
      </c>
      <c r="D26" s="10">
        <v>8</v>
      </c>
      <c r="E26" s="10">
        <v>8</v>
      </c>
      <c r="F26" s="10">
        <v>665</v>
      </c>
      <c r="G26" s="10">
        <v>7.4</v>
      </c>
      <c r="H26" s="10">
        <v>3</v>
      </c>
      <c r="I26" s="10">
        <v>0</v>
      </c>
      <c r="J26" s="10">
        <v>3</v>
      </c>
      <c r="K26" s="10">
        <v>2</v>
      </c>
      <c r="L26" s="10">
        <v>1</v>
      </c>
      <c r="M26" s="10">
        <v>1</v>
      </c>
      <c r="N26" s="10">
        <v>1</v>
      </c>
      <c r="O26" s="10">
        <v>0</v>
      </c>
      <c r="P26" s="10">
        <v>3.4</v>
      </c>
      <c r="Q26" s="10">
        <v>2.6</v>
      </c>
      <c r="R26" s="10">
        <v>0.3</v>
      </c>
      <c r="S26" s="10">
        <v>5</v>
      </c>
      <c r="T26" s="10">
        <v>7</v>
      </c>
      <c r="U26" s="10">
        <v>41</v>
      </c>
      <c r="V26" s="10">
        <v>0.41</v>
      </c>
      <c r="W26" s="10">
        <v>0</v>
      </c>
      <c r="X26" s="10">
        <v>0.41</v>
      </c>
      <c r="Y26" s="10">
        <v>0.27</v>
      </c>
      <c r="Z26" s="10">
        <v>0.46</v>
      </c>
      <c r="AA26" s="10">
        <v>0.04</v>
      </c>
      <c r="AB26" s="10">
        <v>0.36</v>
      </c>
      <c r="AC26" s="10"/>
      <c r="AD26" s="5"/>
      <c r="AE26" s="6"/>
    </row>
    <row r="27" spans="1:31" hidden="1" x14ac:dyDescent="0.35">
      <c r="A27" s="15">
        <f t="shared" si="0"/>
        <v>126</v>
      </c>
      <c r="B27" s="16">
        <v>1</v>
      </c>
      <c r="C27" s="13" t="s">
        <v>21</v>
      </c>
      <c r="D27" s="10">
        <v>7</v>
      </c>
      <c r="E27" s="10">
        <v>6</v>
      </c>
      <c r="F27" s="10">
        <v>499</v>
      </c>
      <c r="G27" s="10">
        <v>5.5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0.1</v>
      </c>
      <c r="Q27" s="10">
        <v>0.1</v>
      </c>
      <c r="R27" s="10">
        <v>0.1</v>
      </c>
      <c r="S27" s="10">
        <v>2</v>
      </c>
      <c r="T27" s="10">
        <v>23</v>
      </c>
      <c r="U27" s="10">
        <v>3</v>
      </c>
      <c r="V27" s="10">
        <v>0</v>
      </c>
      <c r="W27" s="10">
        <v>0</v>
      </c>
      <c r="X27" s="10">
        <v>0</v>
      </c>
      <c r="Y27" s="10">
        <v>0</v>
      </c>
      <c r="Z27" s="10">
        <v>0.02</v>
      </c>
      <c r="AA27" s="10">
        <v>0.01</v>
      </c>
      <c r="AB27" s="10">
        <v>0.02</v>
      </c>
      <c r="AC27" s="10"/>
      <c r="AD27" s="2"/>
      <c r="AE27" s="7"/>
    </row>
    <row r="28" spans="1:31" hidden="1" x14ac:dyDescent="0.35">
      <c r="A28" s="15">
        <v>201</v>
      </c>
      <c r="B28" s="16">
        <v>2</v>
      </c>
      <c r="C28" s="13" t="s">
        <v>102</v>
      </c>
      <c r="D28" s="10">
        <v>2</v>
      </c>
      <c r="E28" s="10">
        <v>2</v>
      </c>
      <c r="F28" s="10">
        <v>180</v>
      </c>
      <c r="G28" s="10">
        <v>2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1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/>
      <c r="AD28" s="2"/>
      <c r="AE28" s="7"/>
    </row>
    <row r="29" spans="1:31" hidden="1" x14ac:dyDescent="0.35">
      <c r="A29" s="15">
        <f>A28+1</f>
        <v>202</v>
      </c>
      <c r="B29" s="16">
        <v>2</v>
      </c>
      <c r="C29" s="13" t="s">
        <v>88</v>
      </c>
      <c r="D29" s="10">
        <v>7</v>
      </c>
      <c r="E29" s="10">
        <v>4</v>
      </c>
      <c r="F29" s="10">
        <v>343</v>
      </c>
      <c r="G29" s="10">
        <v>3.8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0.3</v>
      </c>
      <c r="Q29" s="10">
        <v>0.3</v>
      </c>
      <c r="R29" s="10">
        <v>0</v>
      </c>
      <c r="S29" s="10">
        <v>10</v>
      </c>
      <c r="T29" s="10">
        <v>7</v>
      </c>
      <c r="U29" s="10">
        <v>24</v>
      </c>
      <c r="V29" s="10">
        <v>0</v>
      </c>
      <c r="W29" s="10">
        <v>0</v>
      </c>
      <c r="X29" s="10">
        <v>0</v>
      </c>
      <c r="Y29" s="10">
        <v>0</v>
      </c>
      <c r="Z29" s="10">
        <v>0.08</v>
      </c>
      <c r="AA29" s="10">
        <v>0.01</v>
      </c>
      <c r="AB29" s="10">
        <v>0.08</v>
      </c>
      <c r="AC29" s="10"/>
      <c r="AD29" s="2"/>
      <c r="AE29" s="7"/>
    </row>
    <row r="30" spans="1:31" hidden="1" x14ac:dyDescent="0.35">
      <c r="A30" s="15">
        <f t="shared" ref="A30:A56" si="1">A29+1</f>
        <v>203</v>
      </c>
      <c r="B30" s="16">
        <v>2</v>
      </c>
      <c r="C30" s="13" t="s">
        <v>109</v>
      </c>
      <c r="D30" s="10">
        <v>1</v>
      </c>
      <c r="E30" s="10">
        <v>0</v>
      </c>
      <c r="F30" s="10">
        <v>17</v>
      </c>
      <c r="G30" s="10">
        <v>0.2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1</v>
      </c>
      <c r="T30" s="10">
        <v>0</v>
      </c>
      <c r="U30" s="10">
        <v>4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/>
      <c r="AD30" s="2"/>
      <c r="AE30" s="7"/>
    </row>
    <row r="31" spans="1:31" hidden="1" x14ac:dyDescent="0.35">
      <c r="A31" s="15">
        <f t="shared" si="1"/>
        <v>204</v>
      </c>
      <c r="B31" s="16">
        <v>2</v>
      </c>
      <c r="C31" s="13" t="s">
        <v>98</v>
      </c>
      <c r="D31" s="10">
        <v>4</v>
      </c>
      <c r="E31" s="10">
        <v>3</v>
      </c>
      <c r="F31" s="10">
        <v>235</v>
      </c>
      <c r="G31" s="10">
        <v>2.6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1</v>
      </c>
      <c r="O31" s="10">
        <v>0</v>
      </c>
      <c r="P31" s="10">
        <v>0.2</v>
      </c>
      <c r="Q31" s="10">
        <v>0.2</v>
      </c>
      <c r="R31" s="10">
        <v>0</v>
      </c>
      <c r="S31" s="10">
        <v>2</v>
      </c>
      <c r="T31" s="10">
        <v>9</v>
      </c>
      <c r="U31" s="10">
        <v>1</v>
      </c>
      <c r="V31" s="10">
        <v>0</v>
      </c>
      <c r="W31" s="10">
        <v>0</v>
      </c>
      <c r="X31" s="10">
        <v>0</v>
      </c>
      <c r="Y31" s="10">
        <v>0</v>
      </c>
      <c r="Z31" s="10">
        <v>0.09</v>
      </c>
      <c r="AA31" s="10">
        <v>0</v>
      </c>
      <c r="AB31" s="10">
        <v>0.09</v>
      </c>
      <c r="AC31" s="10"/>
      <c r="AD31" s="2"/>
      <c r="AE31" s="7"/>
    </row>
    <row r="32" spans="1:31" hidden="1" x14ac:dyDescent="0.35">
      <c r="A32" s="15">
        <f t="shared" si="1"/>
        <v>205</v>
      </c>
      <c r="B32" s="16">
        <v>2</v>
      </c>
      <c r="C32" s="13" t="s">
        <v>94</v>
      </c>
      <c r="D32" s="10">
        <v>8</v>
      </c>
      <c r="E32" s="10">
        <v>3</v>
      </c>
      <c r="F32" s="10">
        <v>294</v>
      </c>
      <c r="G32" s="10">
        <v>3.3</v>
      </c>
      <c r="H32" s="10">
        <v>2</v>
      </c>
      <c r="I32" s="10">
        <v>0</v>
      </c>
      <c r="J32" s="10">
        <v>2</v>
      </c>
      <c r="K32" s="10">
        <v>2</v>
      </c>
      <c r="L32" s="10">
        <v>0</v>
      </c>
      <c r="M32" s="10">
        <v>0</v>
      </c>
      <c r="N32" s="10">
        <v>0</v>
      </c>
      <c r="O32" s="10">
        <v>0</v>
      </c>
      <c r="P32" s="10">
        <v>0.8</v>
      </c>
      <c r="Q32" s="10">
        <v>0.8</v>
      </c>
      <c r="R32" s="10">
        <v>0.2</v>
      </c>
      <c r="S32" s="10">
        <v>6</v>
      </c>
      <c r="T32" s="10">
        <v>7</v>
      </c>
      <c r="U32" s="10">
        <v>17</v>
      </c>
      <c r="V32" s="10">
        <v>0.61</v>
      </c>
      <c r="W32" s="10">
        <v>0</v>
      </c>
      <c r="X32" s="10">
        <v>0.61</v>
      </c>
      <c r="Y32" s="10">
        <v>0.61</v>
      </c>
      <c r="Z32" s="10">
        <v>0.25</v>
      </c>
      <c r="AA32" s="10">
        <v>0.06</v>
      </c>
      <c r="AB32" s="10">
        <v>0.25</v>
      </c>
      <c r="AC32" s="10"/>
      <c r="AD32" s="2"/>
      <c r="AE32" s="7"/>
    </row>
    <row r="33" spans="1:31" hidden="1" x14ac:dyDescent="0.35">
      <c r="A33" s="15">
        <f t="shared" si="1"/>
        <v>206</v>
      </c>
      <c r="B33" s="16">
        <v>2</v>
      </c>
      <c r="C33" s="13" t="s">
        <v>84</v>
      </c>
      <c r="D33" s="10">
        <v>6</v>
      </c>
      <c r="E33" s="10">
        <v>6</v>
      </c>
      <c r="F33" s="10">
        <v>481</v>
      </c>
      <c r="G33" s="10">
        <v>5.3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0.3</v>
      </c>
      <c r="Q33" s="10">
        <v>0.3</v>
      </c>
      <c r="R33" s="10">
        <v>0.1</v>
      </c>
      <c r="S33" s="10">
        <v>1</v>
      </c>
      <c r="T33" s="10">
        <v>27</v>
      </c>
      <c r="U33" s="10">
        <v>3</v>
      </c>
      <c r="V33" s="10">
        <v>0</v>
      </c>
      <c r="W33" s="10">
        <v>0</v>
      </c>
      <c r="X33" s="10">
        <v>0</v>
      </c>
      <c r="Y33" s="10">
        <v>0</v>
      </c>
      <c r="Z33" s="10">
        <v>0.05</v>
      </c>
      <c r="AA33" s="10">
        <v>0.02</v>
      </c>
      <c r="AB33" s="10">
        <v>0.05</v>
      </c>
      <c r="AC33" s="10"/>
      <c r="AD33" s="2"/>
      <c r="AE33" s="7"/>
    </row>
    <row r="34" spans="1:31" hidden="1" x14ac:dyDescent="0.35">
      <c r="A34" s="15">
        <f t="shared" si="1"/>
        <v>207</v>
      </c>
      <c r="B34" s="16">
        <v>2</v>
      </c>
      <c r="C34" s="13" t="s">
        <v>90</v>
      </c>
      <c r="D34" s="10">
        <v>4</v>
      </c>
      <c r="E34" s="10">
        <v>4</v>
      </c>
      <c r="F34" s="10">
        <v>315</v>
      </c>
      <c r="G34" s="10">
        <v>3.5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0.1</v>
      </c>
      <c r="Q34" s="10">
        <v>0.1</v>
      </c>
      <c r="R34" s="10">
        <v>0.2</v>
      </c>
      <c r="S34" s="10">
        <v>8</v>
      </c>
      <c r="T34" s="10">
        <v>21</v>
      </c>
      <c r="U34" s="10">
        <v>10</v>
      </c>
      <c r="V34" s="10">
        <v>0</v>
      </c>
      <c r="W34" s="10">
        <v>0</v>
      </c>
      <c r="X34" s="10">
        <v>0</v>
      </c>
      <c r="Y34" s="10">
        <v>0</v>
      </c>
      <c r="Z34" s="10">
        <v>0.04</v>
      </c>
      <c r="AA34" s="10">
        <v>0.05</v>
      </c>
      <c r="AB34" s="10">
        <v>0.04</v>
      </c>
      <c r="AC34" s="10"/>
      <c r="AD34" s="2"/>
      <c r="AE34" s="7"/>
    </row>
    <row r="35" spans="1:31" hidden="1" x14ac:dyDescent="0.35">
      <c r="A35" s="15">
        <f t="shared" si="1"/>
        <v>208</v>
      </c>
      <c r="B35" s="16">
        <v>2</v>
      </c>
      <c r="C35" s="13" t="s">
        <v>78</v>
      </c>
      <c r="D35" s="10">
        <v>7</v>
      </c>
      <c r="E35" s="10">
        <v>7</v>
      </c>
      <c r="F35" s="10">
        <v>605</v>
      </c>
      <c r="G35" s="10">
        <v>6.7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4</v>
      </c>
      <c r="T35" s="10">
        <v>24</v>
      </c>
      <c r="U35" s="10">
        <v>2</v>
      </c>
      <c r="V35" s="10">
        <v>0</v>
      </c>
      <c r="W35" s="10">
        <v>0</v>
      </c>
      <c r="X35" s="10">
        <v>0</v>
      </c>
      <c r="Y35" s="10">
        <v>0</v>
      </c>
      <c r="Z35" s="10">
        <v>0.01</v>
      </c>
      <c r="AA35" s="10">
        <v>0</v>
      </c>
      <c r="AB35" s="10">
        <v>0.01</v>
      </c>
      <c r="AC35" s="10"/>
      <c r="AD35" s="2"/>
      <c r="AE35" s="7"/>
    </row>
    <row r="36" spans="1:31" hidden="1" x14ac:dyDescent="0.35">
      <c r="A36" s="15">
        <f t="shared" si="1"/>
        <v>209</v>
      </c>
      <c r="B36" s="16">
        <v>2</v>
      </c>
      <c r="C36" s="13" t="s">
        <v>105</v>
      </c>
      <c r="D36" s="10">
        <v>3</v>
      </c>
      <c r="E36" s="10">
        <v>1</v>
      </c>
      <c r="F36" s="10">
        <v>98</v>
      </c>
      <c r="G36" s="10">
        <v>1.1000000000000001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0.2</v>
      </c>
      <c r="Q36" s="10">
        <v>0.2</v>
      </c>
      <c r="R36" s="10">
        <v>0</v>
      </c>
      <c r="S36" s="10">
        <v>3</v>
      </c>
      <c r="T36" s="10">
        <v>5</v>
      </c>
      <c r="U36" s="10">
        <v>11</v>
      </c>
      <c r="V36" s="10">
        <v>0</v>
      </c>
      <c r="W36" s="10">
        <v>0</v>
      </c>
      <c r="X36" s="10">
        <v>0</v>
      </c>
      <c r="Y36" s="10">
        <v>0</v>
      </c>
      <c r="Z36" s="10">
        <v>0.17</v>
      </c>
      <c r="AA36" s="10">
        <v>0</v>
      </c>
      <c r="AB36" s="10">
        <v>0.17</v>
      </c>
      <c r="AC36" s="10"/>
      <c r="AD36" s="2"/>
      <c r="AE36" s="7"/>
    </row>
    <row r="37" spans="1:31" hidden="1" x14ac:dyDescent="0.35">
      <c r="A37" s="15">
        <f t="shared" si="1"/>
        <v>210</v>
      </c>
      <c r="B37" s="16">
        <v>2</v>
      </c>
      <c r="C37" s="13" t="s">
        <v>104</v>
      </c>
      <c r="D37" s="10">
        <v>5</v>
      </c>
      <c r="E37" s="10">
        <v>1</v>
      </c>
      <c r="F37" s="10">
        <v>157</v>
      </c>
      <c r="G37" s="10">
        <v>1.7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1</v>
      </c>
      <c r="O37" s="10">
        <v>0</v>
      </c>
      <c r="P37" s="10">
        <v>0.2</v>
      </c>
      <c r="Q37" s="10">
        <v>0.2</v>
      </c>
      <c r="R37" s="10">
        <v>0.3</v>
      </c>
      <c r="S37" s="10">
        <v>6</v>
      </c>
      <c r="T37" s="10">
        <v>15</v>
      </c>
      <c r="U37" s="10">
        <v>13</v>
      </c>
      <c r="V37" s="10">
        <v>0</v>
      </c>
      <c r="W37" s="10">
        <v>0</v>
      </c>
      <c r="X37" s="10">
        <v>0</v>
      </c>
      <c r="Y37" s="10">
        <v>0</v>
      </c>
      <c r="Z37" s="10">
        <v>0.11</v>
      </c>
      <c r="AA37" s="10">
        <v>0.15</v>
      </c>
      <c r="AB37" s="10">
        <v>0.11</v>
      </c>
      <c r="AC37" s="10"/>
      <c r="AD37" s="2"/>
      <c r="AE37" s="7"/>
    </row>
    <row r="38" spans="1:31" hidden="1" x14ac:dyDescent="0.35">
      <c r="A38" s="15">
        <f t="shared" si="1"/>
        <v>211</v>
      </c>
      <c r="B38" s="16">
        <v>2</v>
      </c>
      <c r="C38" s="13" t="s">
        <v>111</v>
      </c>
      <c r="D38" s="10">
        <v>2</v>
      </c>
      <c r="E38" s="10">
        <v>0</v>
      </c>
      <c r="F38" s="10">
        <v>16</v>
      </c>
      <c r="G38" s="10">
        <v>0.2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0.1</v>
      </c>
      <c r="Q38" s="10">
        <v>0.1</v>
      </c>
      <c r="R38" s="10">
        <v>0</v>
      </c>
      <c r="S38" s="10">
        <v>1</v>
      </c>
      <c r="T38" s="10">
        <v>2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0.67</v>
      </c>
      <c r="AA38" s="10">
        <v>0</v>
      </c>
      <c r="AB38" s="10">
        <v>0.67</v>
      </c>
      <c r="AC38" s="10"/>
      <c r="AD38" s="2"/>
      <c r="AE38" s="7"/>
    </row>
    <row r="39" spans="1:31" hidden="1" x14ac:dyDescent="0.35">
      <c r="A39" s="15">
        <f t="shared" si="1"/>
        <v>212</v>
      </c>
      <c r="B39" s="16">
        <v>2</v>
      </c>
      <c r="C39" s="13" t="s">
        <v>117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/>
      <c r="AD39" s="2"/>
      <c r="AE39" s="7"/>
    </row>
    <row r="40" spans="1:31" hidden="1" x14ac:dyDescent="0.35">
      <c r="A40" s="15">
        <f t="shared" si="1"/>
        <v>213</v>
      </c>
      <c r="B40" s="16">
        <v>2</v>
      </c>
      <c r="C40" s="13" t="s">
        <v>125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/>
      <c r="AD40" s="2"/>
      <c r="AE40" s="7"/>
    </row>
    <row r="41" spans="1:31" hidden="1" x14ac:dyDescent="0.35">
      <c r="A41" s="15">
        <f t="shared" si="1"/>
        <v>214</v>
      </c>
      <c r="B41" s="16">
        <v>2</v>
      </c>
      <c r="C41" s="13" t="s">
        <v>76</v>
      </c>
      <c r="D41" s="10">
        <v>8</v>
      </c>
      <c r="E41" s="10">
        <v>7</v>
      </c>
      <c r="F41" s="10">
        <v>628</v>
      </c>
      <c r="G41" s="10">
        <v>7</v>
      </c>
      <c r="H41" s="10">
        <v>1</v>
      </c>
      <c r="I41" s="10">
        <v>0</v>
      </c>
      <c r="J41" s="10">
        <v>1</v>
      </c>
      <c r="K41" s="10">
        <v>1</v>
      </c>
      <c r="L41" s="10">
        <v>0</v>
      </c>
      <c r="M41" s="10">
        <v>0</v>
      </c>
      <c r="N41" s="10">
        <v>0</v>
      </c>
      <c r="O41" s="10">
        <v>0</v>
      </c>
      <c r="P41" s="10">
        <v>1.6</v>
      </c>
      <c r="Q41" s="10">
        <v>1.6</v>
      </c>
      <c r="R41" s="10">
        <v>0.4</v>
      </c>
      <c r="S41" s="10">
        <v>12</v>
      </c>
      <c r="T41" s="10">
        <v>8</v>
      </c>
      <c r="U41" s="10">
        <v>45</v>
      </c>
      <c r="V41" s="10">
        <v>0.14000000000000001</v>
      </c>
      <c r="W41" s="10">
        <v>0</v>
      </c>
      <c r="X41" s="10">
        <v>0.14000000000000001</v>
      </c>
      <c r="Y41" s="10">
        <v>0.14000000000000001</v>
      </c>
      <c r="Z41" s="10">
        <v>0.23</v>
      </c>
      <c r="AA41" s="10">
        <v>0.05</v>
      </c>
      <c r="AB41" s="10">
        <v>0.23</v>
      </c>
      <c r="AC41" s="10"/>
      <c r="AD41" s="2"/>
      <c r="AE41" s="7"/>
    </row>
    <row r="42" spans="1:31" hidden="1" x14ac:dyDescent="0.35">
      <c r="A42" s="15">
        <f t="shared" si="1"/>
        <v>215</v>
      </c>
      <c r="B42" s="16">
        <v>2</v>
      </c>
      <c r="C42" s="13" t="s">
        <v>92</v>
      </c>
      <c r="D42" s="10">
        <v>5</v>
      </c>
      <c r="E42" s="10">
        <v>3</v>
      </c>
      <c r="F42" s="10">
        <v>346</v>
      </c>
      <c r="G42" s="10">
        <v>3.8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0.1</v>
      </c>
      <c r="Q42" s="10">
        <v>0.1</v>
      </c>
      <c r="R42" s="10">
        <v>0</v>
      </c>
      <c r="S42" s="10">
        <v>7</v>
      </c>
      <c r="T42" s="10">
        <v>19</v>
      </c>
      <c r="U42" s="10">
        <v>2</v>
      </c>
      <c r="V42" s="10">
        <v>0</v>
      </c>
      <c r="W42" s="10">
        <v>0</v>
      </c>
      <c r="X42" s="10">
        <v>0</v>
      </c>
      <c r="Y42" s="10">
        <v>0</v>
      </c>
      <c r="Z42" s="10">
        <v>0.03</v>
      </c>
      <c r="AA42" s="10">
        <v>0</v>
      </c>
      <c r="AB42" s="10">
        <v>0.03</v>
      </c>
      <c r="AC42" s="10"/>
      <c r="AD42" s="2"/>
      <c r="AE42" s="7"/>
    </row>
    <row r="43" spans="1:31" hidden="1" x14ac:dyDescent="0.35">
      <c r="A43" s="15">
        <f t="shared" si="1"/>
        <v>216</v>
      </c>
      <c r="B43" s="16">
        <v>2</v>
      </c>
      <c r="C43" s="13" t="s">
        <v>80</v>
      </c>
      <c r="D43" s="10">
        <v>8</v>
      </c>
      <c r="E43" s="10">
        <v>7</v>
      </c>
      <c r="F43" s="10">
        <v>569</v>
      </c>
      <c r="G43" s="10">
        <v>6.3</v>
      </c>
      <c r="H43" s="10">
        <v>0</v>
      </c>
      <c r="I43" s="10">
        <v>2</v>
      </c>
      <c r="J43" s="10">
        <v>2</v>
      </c>
      <c r="K43" s="10">
        <v>0</v>
      </c>
      <c r="L43" s="10">
        <v>0</v>
      </c>
      <c r="M43" s="10">
        <v>0</v>
      </c>
      <c r="N43" s="10">
        <v>2</v>
      </c>
      <c r="O43" s="10">
        <v>0</v>
      </c>
      <c r="P43" s="10">
        <v>0.3</v>
      </c>
      <c r="Q43" s="10">
        <v>0.3</v>
      </c>
      <c r="R43" s="10">
        <v>0.6</v>
      </c>
      <c r="S43" s="10">
        <v>7</v>
      </c>
      <c r="T43" s="10">
        <v>11</v>
      </c>
      <c r="U43" s="10">
        <v>48</v>
      </c>
      <c r="V43" s="10">
        <v>0</v>
      </c>
      <c r="W43" s="10">
        <v>0.32</v>
      </c>
      <c r="X43" s="10">
        <v>0.32</v>
      </c>
      <c r="Y43" s="10">
        <v>0</v>
      </c>
      <c r="Z43" s="10">
        <v>0.04</v>
      </c>
      <c r="AA43" s="10">
        <v>0.1</v>
      </c>
      <c r="AB43" s="10">
        <v>0.04</v>
      </c>
      <c r="AC43" s="10"/>
      <c r="AD43" s="2"/>
      <c r="AE43" s="7"/>
    </row>
    <row r="44" spans="1:31" hidden="1" x14ac:dyDescent="0.35">
      <c r="A44" s="15">
        <f t="shared" si="1"/>
        <v>217</v>
      </c>
      <c r="B44" s="16">
        <v>2</v>
      </c>
      <c r="C44" s="13" t="s">
        <v>100</v>
      </c>
      <c r="D44" s="10">
        <v>7</v>
      </c>
      <c r="E44" s="10">
        <v>2</v>
      </c>
      <c r="F44" s="10">
        <v>329</v>
      </c>
      <c r="G44" s="10">
        <v>3.7</v>
      </c>
      <c r="H44" s="10">
        <v>2</v>
      </c>
      <c r="I44" s="10">
        <v>1</v>
      </c>
      <c r="J44" s="10">
        <v>3</v>
      </c>
      <c r="K44" s="10">
        <v>2</v>
      </c>
      <c r="L44" s="10">
        <v>0</v>
      </c>
      <c r="M44" s="10">
        <v>0</v>
      </c>
      <c r="N44" s="10">
        <v>2</v>
      </c>
      <c r="O44" s="10">
        <v>0</v>
      </c>
      <c r="P44" s="10">
        <v>0.7</v>
      </c>
      <c r="Q44" s="10">
        <v>0.7</v>
      </c>
      <c r="R44" s="10">
        <v>0.4</v>
      </c>
      <c r="S44" s="10">
        <v>11</v>
      </c>
      <c r="T44" s="10">
        <v>23</v>
      </c>
      <c r="U44" s="10">
        <v>13</v>
      </c>
      <c r="V44" s="10">
        <v>0.55000000000000004</v>
      </c>
      <c r="W44" s="10">
        <v>0.27</v>
      </c>
      <c r="X44" s="10">
        <v>0.82</v>
      </c>
      <c r="Y44" s="10">
        <v>0.55000000000000004</v>
      </c>
      <c r="Z44" s="10">
        <v>0.19</v>
      </c>
      <c r="AA44" s="10">
        <v>0.11</v>
      </c>
      <c r="AB44" s="10">
        <v>0.19</v>
      </c>
      <c r="AC44" s="10"/>
      <c r="AD44" s="2"/>
      <c r="AE44" s="7"/>
    </row>
    <row r="45" spans="1:31" hidden="1" x14ac:dyDescent="0.35">
      <c r="A45" s="15">
        <f t="shared" si="1"/>
        <v>218</v>
      </c>
      <c r="B45" s="16">
        <v>2</v>
      </c>
      <c r="C45" s="13" t="s">
        <v>72</v>
      </c>
      <c r="D45" s="10">
        <v>8</v>
      </c>
      <c r="E45" s="10">
        <v>8</v>
      </c>
      <c r="F45" s="10">
        <v>696</v>
      </c>
      <c r="G45" s="10">
        <v>7.7</v>
      </c>
      <c r="H45" s="10">
        <v>1</v>
      </c>
      <c r="I45" s="10">
        <v>0</v>
      </c>
      <c r="J45" s="10">
        <v>1</v>
      </c>
      <c r="K45" s="10">
        <v>1</v>
      </c>
      <c r="L45" s="10">
        <v>0</v>
      </c>
      <c r="M45" s="10">
        <v>0</v>
      </c>
      <c r="N45" s="10">
        <v>2</v>
      </c>
      <c r="O45" s="10">
        <v>0</v>
      </c>
      <c r="P45" s="10">
        <v>0.1</v>
      </c>
      <c r="Q45" s="10">
        <v>0.1</v>
      </c>
      <c r="R45" s="10">
        <v>0.5</v>
      </c>
      <c r="S45" s="10">
        <v>11</v>
      </c>
      <c r="T45" s="10">
        <v>30</v>
      </c>
      <c r="U45" s="10">
        <v>38</v>
      </c>
      <c r="V45" s="10">
        <v>0.13</v>
      </c>
      <c r="W45" s="10">
        <v>0</v>
      </c>
      <c r="X45" s="10">
        <v>0.13</v>
      </c>
      <c r="Y45" s="10">
        <v>0.13</v>
      </c>
      <c r="Z45" s="10">
        <v>0.02</v>
      </c>
      <c r="AA45" s="10">
        <v>0.06</v>
      </c>
      <c r="AB45" s="10">
        <v>0.02</v>
      </c>
      <c r="AC45" s="10"/>
      <c r="AD45" s="2"/>
      <c r="AE45" s="7"/>
    </row>
    <row r="46" spans="1:31" hidden="1" x14ac:dyDescent="0.35">
      <c r="A46" s="15">
        <f t="shared" si="1"/>
        <v>219</v>
      </c>
      <c r="B46" s="16">
        <v>2</v>
      </c>
      <c r="C46" s="13" t="s">
        <v>70</v>
      </c>
      <c r="D46" s="10">
        <v>8</v>
      </c>
      <c r="E46" s="10">
        <v>8</v>
      </c>
      <c r="F46" s="10">
        <v>711</v>
      </c>
      <c r="G46" s="10">
        <v>7.9</v>
      </c>
      <c r="H46" s="10">
        <v>1</v>
      </c>
      <c r="I46" s="10">
        <v>2</v>
      </c>
      <c r="J46" s="10">
        <v>3</v>
      </c>
      <c r="K46" s="10">
        <v>1</v>
      </c>
      <c r="L46" s="10">
        <v>0</v>
      </c>
      <c r="M46" s="10">
        <v>0</v>
      </c>
      <c r="N46" s="10">
        <v>0</v>
      </c>
      <c r="O46" s="10">
        <v>0</v>
      </c>
      <c r="P46" s="10">
        <v>0.5</v>
      </c>
      <c r="Q46" s="10">
        <v>0.5</v>
      </c>
      <c r="R46" s="10">
        <v>1</v>
      </c>
      <c r="S46" s="10">
        <v>12</v>
      </c>
      <c r="T46" s="10">
        <v>23</v>
      </c>
      <c r="U46" s="10">
        <v>43</v>
      </c>
      <c r="V46" s="10">
        <v>0.13</v>
      </c>
      <c r="W46" s="10">
        <v>0.25</v>
      </c>
      <c r="X46" s="10">
        <v>0.38</v>
      </c>
      <c r="Y46" s="10">
        <v>0.13</v>
      </c>
      <c r="Z46" s="10">
        <v>0.06</v>
      </c>
      <c r="AA46" s="10">
        <v>0.13</v>
      </c>
      <c r="AB46" s="10">
        <v>0.06</v>
      </c>
      <c r="AC46" s="10"/>
      <c r="AD46" s="2"/>
      <c r="AE46" s="7"/>
    </row>
    <row r="47" spans="1:31" hidden="1" x14ac:dyDescent="0.35">
      <c r="A47" s="15">
        <f t="shared" si="1"/>
        <v>220</v>
      </c>
      <c r="B47" s="16">
        <v>2</v>
      </c>
      <c r="C47" s="13" t="s">
        <v>74</v>
      </c>
      <c r="D47" s="10">
        <v>8</v>
      </c>
      <c r="E47" s="10">
        <v>8</v>
      </c>
      <c r="F47" s="10">
        <v>636</v>
      </c>
      <c r="G47" s="10">
        <v>7.1</v>
      </c>
      <c r="H47" s="10">
        <v>1</v>
      </c>
      <c r="I47" s="10">
        <v>0</v>
      </c>
      <c r="J47" s="10">
        <v>1</v>
      </c>
      <c r="K47" s="10">
        <v>1</v>
      </c>
      <c r="L47" s="10">
        <v>0</v>
      </c>
      <c r="M47" s="10">
        <v>0</v>
      </c>
      <c r="N47" s="10">
        <v>1</v>
      </c>
      <c r="O47" s="10">
        <v>0</v>
      </c>
      <c r="P47" s="10">
        <v>0.6</v>
      </c>
      <c r="Q47" s="10">
        <v>0.6</v>
      </c>
      <c r="R47" s="10">
        <v>0.9</v>
      </c>
      <c r="S47" s="10">
        <v>9</v>
      </c>
      <c r="T47" s="10">
        <v>32</v>
      </c>
      <c r="U47" s="10">
        <v>20</v>
      </c>
      <c r="V47" s="10">
        <v>0.14000000000000001</v>
      </c>
      <c r="W47" s="10">
        <v>0</v>
      </c>
      <c r="X47" s="10">
        <v>0.14000000000000001</v>
      </c>
      <c r="Y47" s="10">
        <v>0.14000000000000001</v>
      </c>
      <c r="Z47" s="10">
        <v>0.09</v>
      </c>
      <c r="AA47" s="10">
        <v>0.12</v>
      </c>
      <c r="AB47" s="10">
        <v>0.09</v>
      </c>
      <c r="AC47" s="10"/>
      <c r="AD47" s="2"/>
      <c r="AE47" s="7"/>
    </row>
    <row r="48" spans="1:31" hidden="1" x14ac:dyDescent="0.35">
      <c r="A48" s="15">
        <f t="shared" si="1"/>
        <v>221</v>
      </c>
      <c r="B48" s="16">
        <v>2</v>
      </c>
      <c r="C48" s="13" t="s">
        <v>96</v>
      </c>
      <c r="D48" s="10">
        <v>6</v>
      </c>
      <c r="E48" s="10">
        <v>3</v>
      </c>
      <c r="F48" s="10">
        <v>281</v>
      </c>
      <c r="G48" s="10">
        <v>3.1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1</v>
      </c>
      <c r="O48" s="10">
        <v>0</v>
      </c>
      <c r="P48" s="10">
        <v>0</v>
      </c>
      <c r="Q48" s="10">
        <v>0</v>
      </c>
      <c r="R48" s="10">
        <v>0</v>
      </c>
      <c r="S48" s="10">
        <v>3</v>
      </c>
      <c r="T48" s="10">
        <v>8</v>
      </c>
      <c r="U48" s="10">
        <v>2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0.01</v>
      </c>
      <c r="AB48" s="10">
        <v>0</v>
      </c>
      <c r="AC48" s="10"/>
      <c r="AD48" s="2"/>
      <c r="AE48" s="7"/>
    </row>
    <row r="49" spans="1:31" hidden="1" x14ac:dyDescent="0.35">
      <c r="A49" s="15">
        <f t="shared" si="1"/>
        <v>222</v>
      </c>
      <c r="B49" s="16">
        <v>2</v>
      </c>
      <c r="C49" s="13" t="s">
        <v>113</v>
      </c>
      <c r="D49" s="10">
        <v>1</v>
      </c>
      <c r="E49" s="10">
        <v>0</v>
      </c>
      <c r="F49" s="10">
        <v>9</v>
      </c>
      <c r="G49" s="10">
        <v>0.1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1</v>
      </c>
      <c r="T49" s="10">
        <v>3</v>
      </c>
      <c r="U49" s="10">
        <v>6</v>
      </c>
      <c r="V49" s="10">
        <v>0</v>
      </c>
      <c r="W49" s="10">
        <v>0</v>
      </c>
      <c r="X49" s="10">
        <v>0</v>
      </c>
      <c r="Y49" s="10">
        <v>0</v>
      </c>
      <c r="Z49" s="10">
        <v>0.21</v>
      </c>
      <c r="AA49" s="10">
        <v>0</v>
      </c>
      <c r="AB49" s="10">
        <v>0.21</v>
      </c>
      <c r="AC49" s="10"/>
      <c r="AD49" s="2"/>
      <c r="AE49" s="7"/>
    </row>
    <row r="50" spans="1:31" hidden="1" x14ac:dyDescent="0.35">
      <c r="A50" s="15">
        <f t="shared" si="1"/>
        <v>223</v>
      </c>
      <c r="B50" s="16">
        <v>2</v>
      </c>
      <c r="C50" s="13" t="s">
        <v>121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/>
      <c r="AD50" s="2"/>
      <c r="AE50" s="7"/>
    </row>
    <row r="51" spans="1:31" hidden="1" x14ac:dyDescent="0.35">
      <c r="A51" s="15">
        <f t="shared" si="1"/>
        <v>224</v>
      </c>
      <c r="B51" s="16">
        <v>2</v>
      </c>
      <c r="C51" s="13" t="s">
        <v>115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/>
      <c r="AD51" s="5"/>
      <c r="AE51" s="1"/>
    </row>
    <row r="52" spans="1:31" hidden="1" x14ac:dyDescent="0.35">
      <c r="A52" s="15">
        <f t="shared" si="1"/>
        <v>225</v>
      </c>
      <c r="B52" s="16">
        <v>2</v>
      </c>
      <c r="C52" s="13" t="s">
        <v>119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/>
      <c r="AD52" s="5"/>
      <c r="AE52" s="7"/>
    </row>
    <row r="53" spans="1:31" hidden="1" x14ac:dyDescent="0.35">
      <c r="A53" s="15">
        <f t="shared" si="1"/>
        <v>226</v>
      </c>
      <c r="B53" s="16">
        <v>2</v>
      </c>
      <c r="C53" s="13" t="s">
        <v>123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/>
      <c r="AD53" s="5"/>
      <c r="AE53" s="7"/>
    </row>
    <row r="54" spans="1:31" hidden="1" x14ac:dyDescent="0.35">
      <c r="A54" s="15">
        <f t="shared" si="1"/>
        <v>227</v>
      </c>
      <c r="B54" s="16">
        <v>2</v>
      </c>
      <c r="C54" s="13" t="s">
        <v>82</v>
      </c>
      <c r="D54" s="10">
        <v>6</v>
      </c>
      <c r="E54" s="10">
        <v>6</v>
      </c>
      <c r="F54" s="10">
        <v>540</v>
      </c>
      <c r="G54" s="10">
        <v>6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1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/>
      <c r="AD54" s="5"/>
      <c r="AE54" s="7"/>
    </row>
    <row r="55" spans="1:31" hidden="1" x14ac:dyDescent="0.35">
      <c r="A55" s="15">
        <f t="shared" si="1"/>
        <v>228</v>
      </c>
      <c r="B55" s="16">
        <v>2</v>
      </c>
      <c r="C55" s="13" t="s">
        <v>107</v>
      </c>
      <c r="D55" s="10">
        <v>3</v>
      </c>
      <c r="E55" s="10">
        <v>0</v>
      </c>
      <c r="F55" s="10">
        <v>24</v>
      </c>
      <c r="G55" s="10">
        <v>0.3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2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/>
      <c r="AD55" s="5"/>
      <c r="AE55" s="7"/>
    </row>
    <row r="56" spans="1:31" hidden="1" x14ac:dyDescent="0.35">
      <c r="A56" s="15">
        <f t="shared" si="1"/>
        <v>229</v>
      </c>
      <c r="B56" s="16">
        <v>2</v>
      </c>
      <c r="C56" s="13" t="s">
        <v>86</v>
      </c>
      <c r="D56" s="10">
        <v>6</v>
      </c>
      <c r="E56" s="10">
        <v>5</v>
      </c>
      <c r="F56" s="10">
        <v>385</v>
      </c>
      <c r="G56" s="10">
        <v>4.3</v>
      </c>
      <c r="H56" s="10">
        <v>0</v>
      </c>
      <c r="I56" s="10">
        <v>2</v>
      </c>
      <c r="J56" s="10">
        <v>2</v>
      </c>
      <c r="K56" s="10">
        <v>0</v>
      </c>
      <c r="L56" s="10">
        <v>0</v>
      </c>
      <c r="M56" s="10">
        <v>0</v>
      </c>
      <c r="N56" s="10">
        <v>1</v>
      </c>
      <c r="O56" s="10">
        <v>0</v>
      </c>
      <c r="P56" s="10">
        <v>0.1</v>
      </c>
      <c r="Q56" s="10">
        <v>0.1</v>
      </c>
      <c r="R56" s="10">
        <v>0.3</v>
      </c>
      <c r="S56" s="10">
        <v>4</v>
      </c>
      <c r="T56" s="10">
        <v>31</v>
      </c>
      <c r="U56" s="10">
        <v>2</v>
      </c>
      <c r="V56" s="10">
        <v>0</v>
      </c>
      <c r="W56" s="10">
        <v>0.47</v>
      </c>
      <c r="X56" s="10">
        <v>0.47</v>
      </c>
      <c r="Y56" s="10">
        <v>0</v>
      </c>
      <c r="Z56" s="10">
        <v>0.02</v>
      </c>
      <c r="AA56" s="10">
        <v>0.06</v>
      </c>
      <c r="AB56" s="10">
        <v>0.02</v>
      </c>
      <c r="AC56" s="10"/>
      <c r="AD56" s="2"/>
      <c r="AE56" s="7"/>
    </row>
    <row r="57" spans="1:31" hidden="1" x14ac:dyDescent="0.35">
      <c r="A57" s="15">
        <v>301</v>
      </c>
      <c r="B57" s="16">
        <v>3</v>
      </c>
      <c r="C57" s="13" t="s">
        <v>147</v>
      </c>
      <c r="D57" s="10">
        <v>5</v>
      </c>
      <c r="E57" s="10">
        <v>3</v>
      </c>
      <c r="F57" s="10">
        <v>225</v>
      </c>
      <c r="G57" s="10">
        <v>2.5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3</v>
      </c>
      <c r="O57" s="10">
        <v>0</v>
      </c>
      <c r="P57" s="10">
        <v>0.1</v>
      </c>
      <c r="Q57" s="10">
        <v>0.1</v>
      </c>
      <c r="R57" s="10">
        <v>0.1</v>
      </c>
      <c r="S57" s="10">
        <v>11</v>
      </c>
      <c r="T57" s="10">
        <v>11</v>
      </c>
      <c r="U57" s="10">
        <v>4</v>
      </c>
      <c r="V57" s="10">
        <v>0</v>
      </c>
      <c r="W57" s="10">
        <v>0</v>
      </c>
      <c r="X57" s="10">
        <v>0</v>
      </c>
      <c r="Y57" s="10">
        <v>0</v>
      </c>
      <c r="Z57" s="10">
        <v>0.03</v>
      </c>
      <c r="AA57" s="10">
        <v>0.02</v>
      </c>
      <c r="AB57" s="10">
        <v>0.03</v>
      </c>
      <c r="AC57" s="10"/>
      <c r="AD57" s="2"/>
      <c r="AE57" s="7"/>
    </row>
    <row r="58" spans="1:31" hidden="1" x14ac:dyDescent="0.35">
      <c r="A58" s="15">
        <f>A57+1</f>
        <v>302</v>
      </c>
      <c r="B58" s="16">
        <v>3</v>
      </c>
      <c r="C58" s="13" t="s">
        <v>131</v>
      </c>
      <c r="D58" s="10">
        <v>8</v>
      </c>
      <c r="E58" s="10">
        <v>8</v>
      </c>
      <c r="F58" s="10">
        <v>720</v>
      </c>
      <c r="G58" s="10">
        <v>8</v>
      </c>
      <c r="H58" s="10">
        <v>0</v>
      </c>
      <c r="I58" s="10">
        <v>1</v>
      </c>
      <c r="J58" s="10">
        <v>1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0.6</v>
      </c>
      <c r="S58" s="10">
        <v>20</v>
      </c>
      <c r="T58" s="10">
        <v>42</v>
      </c>
      <c r="U58" s="10">
        <v>45</v>
      </c>
      <c r="V58" s="10">
        <v>0</v>
      </c>
      <c r="W58" s="10">
        <v>0.12</v>
      </c>
      <c r="X58" s="10">
        <v>0.12</v>
      </c>
      <c r="Y58" s="10">
        <v>0</v>
      </c>
      <c r="Z58" s="10">
        <v>0.01</v>
      </c>
      <c r="AA58" s="10">
        <v>0.08</v>
      </c>
      <c r="AB58" s="10">
        <v>0.01</v>
      </c>
      <c r="AC58" s="10"/>
      <c r="AD58" s="2"/>
      <c r="AE58" s="7"/>
    </row>
    <row r="59" spans="1:31" hidden="1" x14ac:dyDescent="0.35">
      <c r="A59" s="15">
        <f t="shared" ref="A59:A84" si="2">A58+1</f>
        <v>303</v>
      </c>
      <c r="B59" s="16">
        <v>3</v>
      </c>
      <c r="C59" s="13" t="s">
        <v>151</v>
      </c>
      <c r="D59" s="10">
        <v>7</v>
      </c>
      <c r="E59" s="10">
        <v>2</v>
      </c>
      <c r="F59" s="10">
        <v>276</v>
      </c>
      <c r="G59" s="10">
        <v>3.1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1</v>
      </c>
      <c r="O59" s="10">
        <v>0</v>
      </c>
      <c r="P59" s="10">
        <v>0.1</v>
      </c>
      <c r="Q59" s="10">
        <v>0.1</v>
      </c>
      <c r="R59" s="10">
        <v>0</v>
      </c>
      <c r="S59" s="10">
        <v>3</v>
      </c>
      <c r="T59" s="10">
        <v>17</v>
      </c>
      <c r="U59" s="10">
        <v>8</v>
      </c>
      <c r="V59" s="10">
        <v>0</v>
      </c>
      <c r="W59" s="10">
        <v>0</v>
      </c>
      <c r="X59" s="10">
        <v>0</v>
      </c>
      <c r="Y59" s="10">
        <v>0</v>
      </c>
      <c r="Z59" s="10">
        <v>0.04</v>
      </c>
      <c r="AA59" s="10">
        <v>0</v>
      </c>
      <c r="AB59" s="10">
        <v>0.04</v>
      </c>
      <c r="AC59" s="10"/>
      <c r="AD59" s="2"/>
      <c r="AE59" s="7"/>
    </row>
    <row r="60" spans="1:31" hidden="1" x14ac:dyDescent="0.35">
      <c r="A60" s="15">
        <f t="shared" si="2"/>
        <v>304</v>
      </c>
      <c r="B60" s="16">
        <v>3</v>
      </c>
      <c r="C60" s="13" t="s">
        <v>145</v>
      </c>
      <c r="D60" s="10">
        <v>7</v>
      </c>
      <c r="E60" s="10">
        <v>6</v>
      </c>
      <c r="F60" s="10">
        <v>454</v>
      </c>
      <c r="G60" s="10">
        <v>5</v>
      </c>
      <c r="H60" s="10">
        <v>0</v>
      </c>
      <c r="I60" s="10">
        <v>1</v>
      </c>
      <c r="J60" s="10">
        <v>1</v>
      </c>
      <c r="K60" s="10">
        <v>0</v>
      </c>
      <c r="L60" s="10">
        <v>0</v>
      </c>
      <c r="M60" s="10">
        <v>0</v>
      </c>
      <c r="N60" s="10">
        <v>2</v>
      </c>
      <c r="O60" s="10">
        <v>0</v>
      </c>
      <c r="P60" s="10">
        <v>0.9</v>
      </c>
      <c r="Q60" s="10">
        <v>0.9</v>
      </c>
      <c r="R60" s="10">
        <v>1.4</v>
      </c>
      <c r="S60" s="10">
        <v>15</v>
      </c>
      <c r="T60" s="10">
        <v>16</v>
      </c>
      <c r="U60" s="10">
        <v>46</v>
      </c>
      <c r="V60" s="10">
        <v>0</v>
      </c>
      <c r="W60" s="10">
        <v>0.2</v>
      </c>
      <c r="X60" s="10">
        <v>0.2</v>
      </c>
      <c r="Y60" s="10">
        <v>0</v>
      </c>
      <c r="Z60" s="10">
        <v>0.17</v>
      </c>
      <c r="AA60" s="10">
        <v>0.28000000000000003</v>
      </c>
      <c r="AB60" s="10">
        <v>0.17</v>
      </c>
      <c r="AC60" s="10"/>
      <c r="AD60" s="2"/>
      <c r="AE60" s="7"/>
    </row>
    <row r="61" spans="1:31" hidden="1" x14ac:dyDescent="0.35">
      <c r="A61" s="15">
        <f t="shared" si="2"/>
        <v>305</v>
      </c>
      <c r="B61" s="16">
        <v>3</v>
      </c>
      <c r="C61" s="13" t="s">
        <v>157</v>
      </c>
      <c r="D61" s="10">
        <v>6</v>
      </c>
      <c r="E61" s="10">
        <v>1</v>
      </c>
      <c r="F61" s="10">
        <v>167</v>
      </c>
      <c r="G61" s="10">
        <v>1.9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0.1</v>
      </c>
      <c r="Q61" s="10">
        <v>0.1</v>
      </c>
      <c r="R61" s="10">
        <v>0.2</v>
      </c>
      <c r="S61" s="10">
        <v>4</v>
      </c>
      <c r="T61" s="10">
        <v>5</v>
      </c>
      <c r="U61" s="10">
        <v>18</v>
      </c>
      <c r="V61" s="10">
        <v>0</v>
      </c>
      <c r="W61" s="10">
        <v>0</v>
      </c>
      <c r="X61" s="10">
        <v>0</v>
      </c>
      <c r="Y61" s="10">
        <v>0</v>
      </c>
      <c r="Z61" s="10">
        <v>0.06</v>
      </c>
      <c r="AA61" s="10">
        <v>0.1</v>
      </c>
      <c r="AB61" s="10">
        <v>0.06</v>
      </c>
      <c r="AC61" s="10"/>
      <c r="AD61" s="2"/>
      <c r="AE61" s="7"/>
    </row>
    <row r="62" spans="1:31" hidden="1" x14ac:dyDescent="0.35">
      <c r="A62" s="15">
        <f t="shared" si="2"/>
        <v>306</v>
      </c>
      <c r="B62" s="16">
        <v>3</v>
      </c>
      <c r="C62" s="13" t="s">
        <v>129</v>
      </c>
      <c r="D62" s="10">
        <v>8</v>
      </c>
      <c r="E62" s="10">
        <v>8</v>
      </c>
      <c r="F62" s="10">
        <v>720</v>
      </c>
      <c r="G62" s="10">
        <v>8</v>
      </c>
      <c r="H62" s="10">
        <v>6</v>
      </c>
      <c r="I62" s="10">
        <v>3</v>
      </c>
      <c r="J62" s="10">
        <v>9</v>
      </c>
      <c r="K62" s="10">
        <v>5</v>
      </c>
      <c r="L62" s="10">
        <v>1</v>
      </c>
      <c r="M62" s="10">
        <v>1</v>
      </c>
      <c r="N62" s="10">
        <v>2</v>
      </c>
      <c r="O62" s="10">
        <v>0</v>
      </c>
      <c r="P62" s="10">
        <v>3.8</v>
      </c>
      <c r="Q62" s="10">
        <v>3</v>
      </c>
      <c r="R62" s="10">
        <v>0.5</v>
      </c>
      <c r="S62" s="10">
        <v>25</v>
      </c>
      <c r="T62" s="10">
        <v>29</v>
      </c>
      <c r="U62" s="10">
        <v>47</v>
      </c>
      <c r="V62" s="10">
        <v>0.75</v>
      </c>
      <c r="W62" s="10">
        <v>0.37</v>
      </c>
      <c r="X62" s="10">
        <v>1.1299999999999999</v>
      </c>
      <c r="Y62" s="10">
        <v>0.62</v>
      </c>
      <c r="Z62" s="10">
        <v>0.47</v>
      </c>
      <c r="AA62" s="10">
        <v>0.06</v>
      </c>
      <c r="AB62" s="10">
        <v>0.37</v>
      </c>
      <c r="AC62" s="10"/>
      <c r="AD62" s="2"/>
      <c r="AE62" s="7"/>
    </row>
    <row r="63" spans="1:31" hidden="1" x14ac:dyDescent="0.35">
      <c r="A63" s="15">
        <f t="shared" si="2"/>
        <v>307</v>
      </c>
      <c r="B63" s="16">
        <v>3</v>
      </c>
      <c r="C63" s="13" t="s">
        <v>139</v>
      </c>
      <c r="D63" s="10">
        <v>7</v>
      </c>
      <c r="E63" s="10">
        <v>7</v>
      </c>
      <c r="F63" s="10">
        <v>616</v>
      </c>
      <c r="G63" s="10">
        <v>6.8</v>
      </c>
      <c r="H63" s="10">
        <v>1</v>
      </c>
      <c r="I63" s="10">
        <v>0</v>
      </c>
      <c r="J63" s="10">
        <v>1</v>
      </c>
      <c r="K63" s="10">
        <v>1</v>
      </c>
      <c r="L63" s="10">
        <v>0</v>
      </c>
      <c r="M63" s="10">
        <v>0</v>
      </c>
      <c r="N63" s="10">
        <v>1</v>
      </c>
      <c r="O63" s="10">
        <v>0</v>
      </c>
      <c r="P63" s="10">
        <v>1.3</v>
      </c>
      <c r="Q63" s="10">
        <v>1.3</v>
      </c>
      <c r="R63" s="10">
        <v>0.8</v>
      </c>
      <c r="S63" s="10">
        <v>4</v>
      </c>
      <c r="T63" s="10">
        <v>7</v>
      </c>
      <c r="U63" s="10">
        <v>21</v>
      </c>
      <c r="V63" s="10">
        <v>0.15</v>
      </c>
      <c r="W63" s="10">
        <v>0</v>
      </c>
      <c r="X63" s="10">
        <v>0.15</v>
      </c>
      <c r="Y63" s="10">
        <v>0.15</v>
      </c>
      <c r="Z63" s="10">
        <v>0.18</v>
      </c>
      <c r="AA63" s="10">
        <v>0.11</v>
      </c>
      <c r="AB63" s="10">
        <v>0.18</v>
      </c>
      <c r="AC63" s="10"/>
      <c r="AD63" s="2"/>
      <c r="AE63" s="7"/>
    </row>
    <row r="64" spans="1:31" hidden="1" x14ac:dyDescent="0.35">
      <c r="A64" s="15">
        <f t="shared" si="2"/>
        <v>308</v>
      </c>
      <c r="B64" s="16">
        <v>3</v>
      </c>
      <c r="C64" s="13" t="s">
        <v>161</v>
      </c>
      <c r="D64" s="10">
        <v>2</v>
      </c>
      <c r="E64" s="10">
        <v>1</v>
      </c>
      <c r="F64" s="10">
        <v>96</v>
      </c>
      <c r="G64" s="10">
        <v>1.1000000000000001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0.1</v>
      </c>
      <c r="S64" s="10">
        <v>0</v>
      </c>
      <c r="T64" s="10">
        <v>3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0.05</v>
      </c>
      <c r="AB64" s="10">
        <v>0</v>
      </c>
      <c r="AC64" s="10"/>
      <c r="AD64" s="2"/>
      <c r="AE64" s="7"/>
    </row>
    <row r="65" spans="1:31" hidden="1" x14ac:dyDescent="0.35">
      <c r="A65" s="15">
        <f t="shared" si="2"/>
        <v>309</v>
      </c>
      <c r="B65" s="16">
        <v>3</v>
      </c>
      <c r="C65" s="13" t="s">
        <v>167</v>
      </c>
      <c r="D65" s="10">
        <v>1</v>
      </c>
      <c r="E65" s="10">
        <v>0</v>
      </c>
      <c r="F65" s="10">
        <v>7</v>
      </c>
      <c r="G65" s="10">
        <v>0.1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/>
      <c r="AD65" s="2"/>
      <c r="AE65" s="7"/>
    </row>
    <row r="66" spans="1:31" hidden="1" x14ac:dyDescent="0.35">
      <c r="A66" s="15">
        <f t="shared" si="2"/>
        <v>310</v>
      </c>
      <c r="B66" s="16">
        <v>3</v>
      </c>
      <c r="C66" s="13" t="s">
        <v>143</v>
      </c>
      <c r="D66" s="10">
        <v>8</v>
      </c>
      <c r="E66" s="10">
        <v>7</v>
      </c>
      <c r="F66" s="10">
        <v>515</v>
      </c>
      <c r="G66" s="10">
        <v>5.7</v>
      </c>
      <c r="H66" s="10">
        <v>1</v>
      </c>
      <c r="I66" s="10">
        <v>0</v>
      </c>
      <c r="J66" s="10">
        <v>1</v>
      </c>
      <c r="K66" s="10">
        <v>1</v>
      </c>
      <c r="L66" s="10">
        <v>0</v>
      </c>
      <c r="M66" s="10">
        <v>0</v>
      </c>
      <c r="N66" s="10">
        <v>1</v>
      </c>
      <c r="O66" s="10">
        <v>0</v>
      </c>
      <c r="P66" s="10">
        <v>0.4</v>
      </c>
      <c r="Q66" s="10">
        <v>0.4</v>
      </c>
      <c r="R66" s="10">
        <v>0.4</v>
      </c>
      <c r="S66" s="10">
        <v>12</v>
      </c>
      <c r="T66" s="10">
        <v>15</v>
      </c>
      <c r="U66" s="10">
        <v>16</v>
      </c>
      <c r="V66" s="10">
        <v>0.17</v>
      </c>
      <c r="W66" s="10">
        <v>0</v>
      </c>
      <c r="X66" s="10">
        <v>0.17</v>
      </c>
      <c r="Y66" s="10">
        <v>0.17</v>
      </c>
      <c r="Z66" s="10">
        <v>7.0000000000000007E-2</v>
      </c>
      <c r="AA66" s="10">
        <v>0.06</v>
      </c>
      <c r="AB66" s="10">
        <v>7.0000000000000007E-2</v>
      </c>
      <c r="AC66" s="10"/>
      <c r="AD66" s="2"/>
      <c r="AE66" s="7"/>
    </row>
    <row r="67" spans="1:31" hidden="1" x14ac:dyDescent="0.35">
      <c r="A67" s="15">
        <f t="shared" si="2"/>
        <v>311</v>
      </c>
      <c r="B67" s="16">
        <v>3</v>
      </c>
      <c r="C67" s="13" t="s">
        <v>127</v>
      </c>
      <c r="D67" s="10">
        <v>8</v>
      </c>
      <c r="E67" s="10">
        <v>8</v>
      </c>
      <c r="F67" s="10">
        <v>720</v>
      </c>
      <c r="G67" s="10">
        <v>8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1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/>
      <c r="AD67" s="2"/>
      <c r="AE67" s="7"/>
    </row>
    <row r="68" spans="1:31" hidden="1" x14ac:dyDescent="0.35">
      <c r="A68" s="15">
        <f t="shared" si="2"/>
        <v>312</v>
      </c>
      <c r="B68" s="16">
        <v>3</v>
      </c>
      <c r="C68" s="13" t="s">
        <v>163</v>
      </c>
      <c r="D68" s="10">
        <v>3</v>
      </c>
      <c r="E68" s="10">
        <v>0</v>
      </c>
      <c r="F68" s="10">
        <v>46</v>
      </c>
      <c r="G68" s="10">
        <v>0.5</v>
      </c>
      <c r="H68" s="10">
        <v>0</v>
      </c>
      <c r="I68" s="10">
        <v>1</v>
      </c>
      <c r="J68" s="10">
        <v>1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0.1</v>
      </c>
      <c r="Q68" s="10">
        <v>0.1</v>
      </c>
      <c r="R68" s="10">
        <v>0.6</v>
      </c>
      <c r="S68" s="10">
        <v>2</v>
      </c>
      <c r="T68" s="10">
        <v>1</v>
      </c>
      <c r="U68" s="10">
        <v>5</v>
      </c>
      <c r="V68" s="10">
        <v>0</v>
      </c>
      <c r="W68" s="10">
        <v>1.96</v>
      </c>
      <c r="X68" s="10">
        <v>1.96</v>
      </c>
      <c r="Y68" s="10">
        <v>0</v>
      </c>
      <c r="Z68" s="10">
        <v>0.17</v>
      </c>
      <c r="AA68" s="10">
        <v>1.1200000000000001</v>
      </c>
      <c r="AB68" s="10">
        <v>0.17</v>
      </c>
      <c r="AC68" s="10"/>
      <c r="AD68" s="2"/>
      <c r="AE68" s="7"/>
    </row>
    <row r="69" spans="1:31" hidden="1" x14ac:dyDescent="0.35">
      <c r="A69" s="15">
        <f t="shared" si="2"/>
        <v>313</v>
      </c>
      <c r="B69" s="16">
        <v>3</v>
      </c>
      <c r="C69" s="13" t="s">
        <v>135</v>
      </c>
      <c r="D69" s="10">
        <v>8</v>
      </c>
      <c r="E69" s="10">
        <v>8</v>
      </c>
      <c r="F69" s="10">
        <v>693</v>
      </c>
      <c r="G69" s="10">
        <v>7.7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4</v>
      </c>
      <c r="O69" s="10">
        <v>0</v>
      </c>
      <c r="P69" s="10">
        <v>0.1</v>
      </c>
      <c r="Q69" s="10">
        <v>0.1</v>
      </c>
      <c r="R69" s="10">
        <v>0</v>
      </c>
      <c r="S69" s="10">
        <v>3</v>
      </c>
      <c r="T69" s="10">
        <v>33</v>
      </c>
      <c r="U69" s="10">
        <v>6</v>
      </c>
      <c r="V69" s="10">
        <v>0</v>
      </c>
      <c r="W69" s="10">
        <v>0</v>
      </c>
      <c r="X69" s="10">
        <v>0</v>
      </c>
      <c r="Y69" s="10">
        <v>0</v>
      </c>
      <c r="Z69" s="10">
        <v>0.02</v>
      </c>
      <c r="AA69" s="10">
        <v>0.01</v>
      </c>
      <c r="AB69" s="10">
        <v>0.02</v>
      </c>
      <c r="AC69" s="10"/>
      <c r="AD69" s="2"/>
      <c r="AE69" s="7"/>
    </row>
    <row r="70" spans="1:31" hidden="1" x14ac:dyDescent="0.35">
      <c r="A70" s="15">
        <f t="shared" si="2"/>
        <v>314</v>
      </c>
      <c r="B70" s="16">
        <v>3</v>
      </c>
      <c r="C70" s="13" t="s">
        <v>165</v>
      </c>
      <c r="D70" s="10">
        <v>1</v>
      </c>
      <c r="E70" s="10">
        <v>0</v>
      </c>
      <c r="F70" s="10">
        <v>17</v>
      </c>
      <c r="G70" s="10">
        <v>0.2</v>
      </c>
      <c r="H70" s="10">
        <v>0</v>
      </c>
      <c r="I70" s="10">
        <v>1</v>
      </c>
      <c r="J70" s="10">
        <v>1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0.2</v>
      </c>
      <c r="S70" s="10">
        <v>0</v>
      </c>
      <c r="T70" s="10">
        <v>0</v>
      </c>
      <c r="U70" s="10">
        <v>0</v>
      </c>
      <c r="V70" s="10">
        <v>0</v>
      </c>
      <c r="W70" s="10">
        <v>5.29</v>
      </c>
      <c r="X70" s="10">
        <v>5.29</v>
      </c>
      <c r="Y70" s="10">
        <v>0</v>
      </c>
      <c r="Z70" s="10">
        <v>0</v>
      </c>
      <c r="AA70" s="10">
        <v>1.1000000000000001</v>
      </c>
      <c r="AB70" s="10">
        <v>0</v>
      </c>
      <c r="AC70" s="10"/>
      <c r="AD70" s="2"/>
      <c r="AE70" s="7"/>
    </row>
    <row r="71" spans="1:31" hidden="1" x14ac:dyDescent="0.35">
      <c r="A71" s="15">
        <f t="shared" si="2"/>
        <v>315</v>
      </c>
      <c r="B71" s="16">
        <v>3</v>
      </c>
      <c r="C71" s="13" t="s">
        <v>149</v>
      </c>
      <c r="D71" s="10">
        <v>3</v>
      </c>
      <c r="E71" s="10">
        <v>3</v>
      </c>
      <c r="F71" s="10">
        <v>204</v>
      </c>
      <c r="G71" s="10">
        <v>2.2999999999999998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0.3</v>
      </c>
      <c r="S71" s="10">
        <v>1</v>
      </c>
      <c r="T71" s="10">
        <v>6</v>
      </c>
      <c r="U71" s="10">
        <v>2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0.12</v>
      </c>
      <c r="AB71" s="10">
        <v>0</v>
      </c>
      <c r="AC71" s="10"/>
      <c r="AD71" s="2"/>
      <c r="AE71" s="7"/>
    </row>
    <row r="72" spans="1:31" hidden="1" x14ac:dyDescent="0.35">
      <c r="A72" s="15">
        <f t="shared" si="2"/>
        <v>316</v>
      </c>
      <c r="B72" s="16">
        <v>3</v>
      </c>
      <c r="C72" s="13" t="s">
        <v>173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/>
      <c r="AD72" s="2"/>
      <c r="AE72" s="7"/>
    </row>
    <row r="73" spans="1:31" hidden="1" x14ac:dyDescent="0.35">
      <c r="A73" s="15">
        <f t="shared" si="2"/>
        <v>317</v>
      </c>
      <c r="B73" s="16">
        <v>3</v>
      </c>
      <c r="C73" s="13" t="s">
        <v>171</v>
      </c>
      <c r="D73" s="10">
        <v>1</v>
      </c>
      <c r="E73" s="10">
        <v>0</v>
      </c>
      <c r="F73" s="10">
        <v>1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/>
      <c r="AD73" s="2"/>
      <c r="AE73" s="7"/>
    </row>
    <row r="74" spans="1:31" hidden="1" x14ac:dyDescent="0.35">
      <c r="A74" s="15">
        <f t="shared" si="2"/>
        <v>318</v>
      </c>
      <c r="B74" s="16">
        <v>3</v>
      </c>
      <c r="C74" s="13" t="s">
        <v>153</v>
      </c>
      <c r="D74" s="10">
        <v>7</v>
      </c>
      <c r="E74" s="10">
        <v>2</v>
      </c>
      <c r="F74" s="10">
        <v>239</v>
      </c>
      <c r="G74" s="10">
        <v>2.7</v>
      </c>
      <c r="H74" s="10">
        <v>1</v>
      </c>
      <c r="I74" s="10">
        <v>0</v>
      </c>
      <c r="J74" s="10">
        <v>1</v>
      </c>
      <c r="K74" s="10">
        <v>1</v>
      </c>
      <c r="L74" s="10">
        <v>0</v>
      </c>
      <c r="M74" s="10">
        <v>0</v>
      </c>
      <c r="N74" s="10">
        <v>0</v>
      </c>
      <c r="O74" s="10">
        <v>0</v>
      </c>
      <c r="P74" s="10">
        <v>0.3</v>
      </c>
      <c r="Q74" s="10">
        <v>0.3</v>
      </c>
      <c r="R74" s="10">
        <v>0.3</v>
      </c>
      <c r="S74" s="10">
        <v>9</v>
      </c>
      <c r="T74" s="10">
        <v>7</v>
      </c>
      <c r="U74" s="10">
        <v>19</v>
      </c>
      <c r="V74" s="10">
        <v>0.38</v>
      </c>
      <c r="W74" s="10">
        <v>0</v>
      </c>
      <c r="X74" s="10">
        <v>0.38</v>
      </c>
      <c r="Y74" s="10">
        <v>0.38</v>
      </c>
      <c r="Z74" s="10">
        <v>0.12</v>
      </c>
      <c r="AA74" s="10">
        <v>0.13</v>
      </c>
      <c r="AB74" s="10">
        <v>0.12</v>
      </c>
      <c r="AC74" s="10"/>
      <c r="AD74" s="2"/>
      <c r="AE74" s="7"/>
    </row>
    <row r="75" spans="1:31" hidden="1" x14ac:dyDescent="0.35">
      <c r="A75" s="15">
        <f t="shared" si="2"/>
        <v>319</v>
      </c>
      <c r="B75" s="16">
        <v>3</v>
      </c>
      <c r="C75" s="13" t="s">
        <v>169</v>
      </c>
      <c r="D75" s="10">
        <v>2</v>
      </c>
      <c r="E75" s="10">
        <v>0</v>
      </c>
      <c r="F75" s="10">
        <v>5</v>
      </c>
      <c r="G75" s="10">
        <v>0.1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/>
      <c r="AD75" s="2"/>
      <c r="AE75" s="7"/>
    </row>
    <row r="76" spans="1:31" hidden="1" x14ac:dyDescent="0.35">
      <c r="A76" s="15">
        <f t="shared" si="2"/>
        <v>320</v>
      </c>
      <c r="B76" s="16">
        <v>3</v>
      </c>
      <c r="C76" s="13" t="s">
        <v>133</v>
      </c>
      <c r="D76" s="10">
        <v>8</v>
      </c>
      <c r="E76" s="10">
        <v>8</v>
      </c>
      <c r="F76" s="10">
        <v>707</v>
      </c>
      <c r="G76" s="10">
        <v>7.9</v>
      </c>
      <c r="H76" s="10">
        <v>0</v>
      </c>
      <c r="I76" s="10">
        <v>2</v>
      </c>
      <c r="J76" s="10">
        <v>2</v>
      </c>
      <c r="K76" s="10">
        <v>0</v>
      </c>
      <c r="L76" s="10">
        <v>0</v>
      </c>
      <c r="M76" s="10">
        <v>0</v>
      </c>
      <c r="N76" s="10">
        <v>2</v>
      </c>
      <c r="O76" s="10">
        <v>0</v>
      </c>
      <c r="P76" s="10">
        <v>0.2</v>
      </c>
      <c r="Q76" s="10">
        <v>0.2</v>
      </c>
      <c r="R76" s="10">
        <v>0.3</v>
      </c>
      <c r="S76" s="10">
        <v>5</v>
      </c>
      <c r="T76" s="10">
        <v>42</v>
      </c>
      <c r="U76" s="10">
        <v>2</v>
      </c>
      <c r="V76" s="10">
        <v>0</v>
      </c>
      <c r="W76" s="10">
        <v>0.25</v>
      </c>
      <c r="X76" s="10">
        <v>0.25</v>
      </c>
      <c r="Y76" s="10">
        <v>0</v>
      </c>
      <c r="Z76" s="10">
        <v>0.02</v>
      </c>
      <c r="AA76" s="10">
        <v>0.04</v>
      </c>
      <c r="AB76" s="10">
        <v>0.02</v>
      </c>
      <c r="AC76" s="10"/>
      <c r="AD76" s="2"/>
      <c r="AE76" s="7"/>
    </row>
    <row r="77" spans="1:31" hidden="1" x14ac:dyDescent="0.35">
      <c r="A77" s="15">
        <f t="shared" si="2"/>
        <v>321</v>
      </c>
      <c r="B77" s="16">
        <v>3</v>
      </c>
      <c r="C77" s="13" t="s">
        <v>141</v>
      </c>
      <c r="D77" s="10">
        <v>8</v>
      </c>
      <c r="E77" s="10">
        <v>7</v>
      </c>
      <c r="F77" s="10">
        <v>587</v>
      </c>
      <c r="G77" s="10">
        <v>6.5</v>
      </c>
      <c r="H77" s="10">
        <v>1</v>
      </c>
      <c r="I77" s="10">
        <v>1</v>
      </c>
      <c r="J77" s="10">
        <v>2</v>
      </c>
      <c r="K77" s="10">
        <v>1</v>
      </c>
      <c r="L77" s="10">
        <v>0</v>
      </c>
      <c r="M77" s="10">
        <v>0</v>
      </c>
      <c r="N77" s="10">
        <v>0</v>
      </c>
      <c r="O77" s="10">
        <v>0</v>
      </c>
      <c r="P77" s="10">
        <v>0.9</v>
      </c>
      <c r="Q77" s="10">
        <v>0.9</v>
      </c>
      <c r="R77" s="10">
        <v>1.2</v>
      </c>
      <c r="S77" s="10">
        <v>18</v>
      </c>
      <c r="T77" s="10">
        <v>28</v>
      </c>
      <c r="U77" s="10">
        <v>40</v>
      </c>
      <c r="V77" s="10">
        <v>0.15</v>
      </c>
      <c r="W77" s="10">
        <v>0.15</v>
      </c>
      <c r="X77" s="10">
        <v>0.31</v>
      </c>
      <c r="Y77" s="10">
        <v>0.15</v>
      </c>
      <c r="Z77" s="10">
        <v>0.14000000000000001</v>
      </c>
      <c r="AA77" s="10">
        <v>0.19</v>
      </c>
      <c r="AB77" s="10">
        <v>0.14000000000000001</v>
      </c>
      <c r="AC77" s="10"/>
      <c r="AD77" s="2"/>
      <c r="AE77" s="7"/>
    </row>
    <row r="78" spans="1:31" hidden="1" x14ac:dyDescent="0.35">
      <c r="A78" s="15">
        <f t="shared" si="2"/>
        <v>322</v>
      </c>
      <c r="B78" s="16">
        <v>3</v>
      </c>
      <c r="C78" s="13" t="s">
        <v>175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/>
      <c r="AD78" s="2"/>
      <c r="AE78" s="7"/>
    </row>
    <row r="79" spans="1:31" hidden="1" x14ac:dyDescent="0.35">
      <c r="A79" s="15">
        <f t="shared" si="2"/>
        <v>323</v>
      </c>
      <c r="B79" s="16">
        <v>3</v>
      </c>
      <c r="C79" s="13" t="s">
        <v>181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/>
      <c r="AD79" s="2"/>
      <c r="AE79" s="7"/>
    </row>
    <row r="80" spans="1:31" hidden="1" x14ac:dyDescent="0.35">
      <c r="A80" s="15">
        <f t="shared" si="2"/>
        <v>324</v>
      </c>
      <c r="B80" s="16">
        <v>3</v>
      </c>
      <c r="C80" s="13" t="s">
        <v>179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/>
      <c r="AD80" s="5"/>
      <c r="AE80" s="7"/>
    </row>
    <row r="81" spans="1:31" hidden="1" x14ac:dyDescent="0.35">
      <c r="A81" s="15">
        <f t="shared" si="2"/>
        <v>325</v>
      </c>
      <c r="B81" s="16">
        <v>3</v>
      </c>
      <c r="C81" s="13" t="s">
        <v>155</v>
      </c>
      <c r="D81" s="10">
        <v>6</v>
      </c>
      <c r="E81" s="10">
        <v>1</v>
      </c>
      <c r="F81" s="10">
        <v>177</v>
      </c>
      <c r="G81" s="10">
        <v>2</v>
      </c>
      <c r="H81" s="10">
        <v>1</v>
      </c>
      <c r="I81" s="10">
        <v>0</v>
      </c>
      <c r="J81" s="10">
        <v>1</v>
      </c>
      <c r="K81" s="10">
        <v>1</v>
      </c>
      <c r="L81" s="10">
        <v>0</v>
      </c>
      <c r="M81" s="10">
        <v>0</v>
      </c>
      <c r="N81" s="10">
        <v>1</v>
      </c>
      <c r="O81" s="10">
        <v>0</v>
      </c>
      <c r="P81" s="10">
        <v>0.8</v>
      </c>
      <c r="Q81" s="10">
        <v>0.8</v>
      </c>
      <c r="R81" s="10">
        <v>0</v>
      </c>
      <c r="S81" s="10">
        <v>4</v>
      </c>
      <c r="T81" s="10">
        <v>12</v>
      </c>
      <c r="U81" s="10">
        <v>5</v>
      </c>
      <c r="V81" s="10">
        <v>0.51</v>
      </c>
      <c r="W81" s="10">
        <v>0</v>
      </c>
      <c r="X81" s="10">
        <v>0.51</v>
      </c>
      <c r="Y81" s="10">
        <v>0.51</v>
      </c>
      <c r="Z81" s="10">
        <v>0.43</v>
      </c>
      <c r="AA81" s="10">
        <v>0.01</v>
      </c>
      <c r="AB81" s="10">
        <v>0.43</v>
      </c>
      <c r="AC81" s="10"/>
      <c r="AD81" s="5"/>
      <c r="AE81" s="7"/>
    </row>
    <row r="82" spans="1:31" hidden="1" x14ac:dyDescent="0.35">
      <c r="A82" s="15">
        <f t="shared" si="2"/>
        <v>326</v>
      </c>
      <c r="B82" s="16">
        <v>3</v>
      </c>
      <c r="C82" s="13" t="s">
        <v>137</v>
      </c>
      <c r="D82" s="10">
        <v>7</v>
      </c>
      <c r="E82" s="10">
        <v>7</v>
      </c>
      <c r="F82" s="10">
        <v>630</v>
      </c>
      <c r="G82" s="10">
        <v>7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1</v>
      </c>
      <c r="O82" s="10">
        <v>0</v>
      </c>
      <c r="P82" s="10">
        <v>0</v>
      </c>
      <c r="Q82" s="10">
        <v>0</v>
      </c>
      <c r="R82" s="10">
        <v>0.1</v>
      </c>
      <c r="S82" s="10">
        <v>1</v>
      </c>
      <c r="T82" s="10">
        <v>19</v>
      </c>
      <c r="U82" s="10">
        <v>2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0.02</v>
      </c>
      <c r="AB82" s="10">
        <v>0</v>
      </c>
      <c r="AC82" s="10"/>
      <c r="AD82" s="5"/>
      <c r="AE82" s="7"/>
    </row>
    <row r="83" spans="1:31" hidden="1" x14ac:dyDescent="0.35">
      <c r="A83" s="15">
        <f t="shared" si="2"/>
        <v>327</v>
      </c>
      <c r="B83" s="16">
        <v>3</v>
      </c>
      <c r="C83" s="13" t="s">
        <v>159</v>
      </c>
      <c r="D83" s="10">
        <v>5</v>
      </c>
      <c r="E83" s="10">
        <v>1</v>
      </c>
      <c r="F83" s="10">
        <v>98</v>
      </c>
      <c r="G83" s="10">
        <v>1.1000000000000001</v>
      </c>
      <c r="H83" s="10">
        <v>3</v>
      </c>
      <c r="I83" s="10">
        <v>0</v>
      </c>
      <c r="J83" s="10">
        <v>3</v>
      </c>
      <c r="K83" s="10">
        <v>3</v>
      </c>
      <c r="L83" s="10">
        <v>0</v>
      </c>
      <c r="M83" s="10">
        <v>0</v>
      </c>
      <c r="N83" s="10">
        <v>1</v>
      </c>
      <c r="O83" s="10">
        <v>0</v>
      </c>
      <c r="P83" s="10">
        <v>1.3</v>
      </c>
      <c r="Q83" s="10">
        <v>1.3</v>
      </c>
      <c r="R83" s="10">
        <v>0</v>
      </c>
      <c r="S83" s="10">
        <v>1</v>
      </c>
      <c r="T83" s="10">
        <v>0</v>
      </c>
      <c r="U83" s="10">
        <v>5</v>
      </c>
      <c r="V83" s="10">
        <v>2.76</v>
      </c>
      <c r="W83" s="10">
        <v>0</v>
      </c>
      <c r="X83" s="10">
        <v>2.76</v>
      </c>
      <c r="Y83" s="10">
        <v>2.76</v>
      </c>
      <c r="Z83" s="10">
        <v>1.21</v>
      </c>
      <c r="AA83" s="10">
        <v>0</v>
      </c>
      <c r="AB83" s="10">
        <v>1.21</v>
      </c>
      <c r="AC83" s="10"/>
      <c r="AD83" s="5"/>
      <c r="AE83" s="7"/>
    </row>
    <row r="84" spans="1:31" hidden="1" x14ac:dyDescent="0.35">
      <c r="A84" s="15">
        <f t="shared" si="2"/>
        <v>328</v>
      </c>
      <c r="B84" s="16">
        <v>3</v>
      </c>
      <c r="C84" s="13" t="s">
        <v>177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/>
      <c r="AD84" s="2"/>
      <c r="AE84" s="7"/>
    </row>
    <row r="85" spans="1:31" hidden="1" x14ac:dyDescent="0.35">
      <c r="A85" s="15">
        <v>401</v>
      </c>
      <c r="B85" s="16">
        <v>4</v>
      </c>
      <c r="C85" s="13" t="s">
        <v>206</v>
      </c>
      <c r="D85" s="10">
        <v>5</v>
      </c>
      <c r="E85" s="10">
        <v>2</v>
      </c>
      <c r="F85" s="10">
        <v>210</v>
      </c>
      <c r="G85" s="10">
        <v>2.2999999999999998</v>
      </c>
      <c r="H85" s="10">
        <v>0</v>
      </c>
      <c r="I85" s="10">
        <v>1</v>
      </c>
      <c r="J85" s="10">
        <v>1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0.3</v>
      </c>
      <c r="Q85" s="10">
        <v>0.3</v>
      </c>
      <c r="R85" s="10">
        <v>0.7</v>
      </c>
      <c r="S85" s="10">
        <v>3</v>
      </c>
      <c r="T85" s="10">
        <v>10</v>
      </c>
      <c r="U85" s="10">
        <v>2</v>
      </c>
      <c r="V85" s="10">
        <v>0</v>
      </c>
      <c r="W85" s="10">
        <v>0.43</v>
      </c>
      <c r="X85" s="10">
        <v>0.43</v>
      </c>
      <c r="Y85" s="10">
        <v>0</v>
      </c>
      <c r="Z85" s="10">
        <v>0.14000000000000001</v>
      </c>
      <c r="AA85" s="10">
        <v>0.28999999999999998</v>
      </c>
      <c r="AB85" s="10">
        <v>0.14000000000000001</v>
      </c>
      <c r="AC85" s="10"/>
      <c r="AD85" s="2"/>
      <c r="AE85" s="7"/>
    </row>
    <row r="86" spans="1:31" hidden="1" x14ac:dyDescent="0.35">
      <c r="A86" s="15">
        <f>A85+1</f>
        <v>402</v>
      </c>
      <c r="B86" s="16">
        <v>4</v>
      </c>
      <c r="C86" s="13" t="s">
        <v>217</v>
      </c>
      <c r="D86" s="10">
        <v>1</v>
      </c>
      <c r="E86" s="10">
        <v>1</v>
      </c>
      <c r="F86" s="10">
        <v>45</v>
      </c>
      <c r="G86" s="10">
        <v>0.5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1</v>
      </c>
      <c r="T86" s="10">
        <v>3</v>
      </c>
      <c r="U86" s="10">
        <v>1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/>
      <c r="AD86" s="2"/>
      <c r="AE86" s="7"/>
    </row>
    <row r="87" spans="1:31" hidden="1" x14ac:dyDescent="0.35">
      <c r="A87" s="15">
        <f t="shared" ref="A87:A109" si="3">A86+1</f>
        <v>403</v>
      </c>
      <c r="B87" s="16">
        <v>4</v>
      </c>
      <c r="C87" s="13" t="s">
        <v>223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/>
      <c r="AD87" s="2"/>
      <c r="AE87" s="7"/>
    </row>
    <row r="88" spans="1:31" hidden="1" x14ac:dyDescent="0.35">
      <c r="A88" s="15">
        <f t="shared" si="3"/>
        <v>404</v>
      </c>
      <c r="B88" s="16">
        <v>4</v>
      </c>
      <c r="C88" s="13" t="s">
        <v>188</v>
      </c>
      <c r="D88" s="10">
        <v>8</v>
      </c>
      <c r="E88" s="10">
        <v>8</v>
      </c>
      <c r="F88" s="10">
        <v>720</v>
      </c>
      <c r="G88" s="10">
        <v>8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1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1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/>
      <c r="AD88" s="2"/>
      <c r="AE88" s="7"/>
    </row>
    <row r="89" spans="1:31" hidden="1" x14ac:dyDescent="0.35">
      <c r="A89" s="15">
        <f t="shared" si="3"/>
        <v>405</v>
      </c>
      <c r="B89" s="16">
        <v>4</v>
      </c>
      <c r="C89" s="13" t="s">
        <v>204</v>
      </c>
      <c r="D89" s="10">
        <v>7</v>
      </c>
      <c r="E89" s="10">
        <v>4</v>
      </c>
      <c r="F89" s="10">
        <v>389</v>
      </c>
      <c r="G89" s="10">
        <v>4.3</v>
      </c>
      <c r="H89" s="10">
        <v>1</v>
      </c>
      <c r="I89" s="10">
        <v>0</v>
      </c>
      <c r="J89" s="10">
        <v>1</v>
      </c>
      <c r="K89" s="10">
        <v>1</v>
      </c>
      <c r="L89" s="10">
        <v>0</v>
      </c>
      <c r="M89" s="10">
        <v>0</v>
      </c>
      <c r="N89" s="10">
        <v>1</v>
      </c>
      <c r="O89" s="10">
        <v>0</v>
      </c>
      <c r="P89" s="10">
        <v>1.8</v>
      </c>
      <c r="Q89" s="10">
        <v>1.8</v>
      </c>
      <c r="R89" s="10">
        <v>0.7</v>
      </c>
      <c r="S89" s="10">
        <v>12</v>
      </c>
      <c r="T89" s="10">
        <v>4</v>
      </c>
      <c r="U89" s="10">
        <v>27</v>
      </c>
      <c r="V89" s="10">
        <v>0.23</v>
      </c>
      <c r="W89" s="10">
        <v>0</v>
      </c>
      <c r="X89" s="10">
        <v>0.23</v>
      </c>
      <c r="Y89" s="10">
        <v>0.23</v>
      </c>
      <c r="Z89" s="10">
        <v>0.41</v>
      </c>
      <c r="AA89" s="10">
        <v>0.17</v>
      </c>
      <c r="AB89" s="10">
        <v>0.41</v>
      </c>
      <c r="AC89" s="10"/>
      <c r="AD89" s="2"/>
      <c r="AE89" s="7"/>
    </row>
    <row r="90" spans="1:31" hidden="1" x14ac:dyDescent="0.35">
      <c r="A90" s="15">
        <f t="shared" si="3"/>
        <v>406</v>
      </c>
      <c r="B90" s="16">
        <v>4</v>
      </c>
      <c r="C90" s="13" t="s">
        <v>210</v>
      </c>
      <c r="D90" s="10">
        <v>6</v>
      </c>
      <c r="E90" s="10">
        <v>2</v>
      </c>
      <c r="F90" s="10">
        <v>177</v>
      </c>
      <c r="G90" s="10">
        <v>2</v>
      </c>
      <c r="H90" s="10">
        <v>2</v>
      </c>
      <c r="I90" s="10">
        <v>0</v>
      </c>
      <c r="J90" s="10">
        <v>2</v>
      </c>
      <c r="K90" s="10">
        <v>2</v>
      </c>
      <c r="L90" s="10">
        <v>0</v>
      </c>
      <c r="M90" s="10">
        <v>0</v>
      </c>
      <c r="N90" s="10">
        <v>0</v>
      </c>
      <c r="O90" s="10">
        <v>0</v>
      </c>
      <c r="P90" s="10">
        <v>0.5</v>
      </c>
      <c r="Q90" s="10">
        <v>0.5</v>
      </c>
      <c r="R90" s="10">
        <v>0.2</v>
      </c>
      <c r="S90" s="10">
        <v>3</v>
      </c>
      <c r="T90" s="10">
        <v>11</v>
      </c>
      <c r="U90" s="10">
        <v>3</v>
      </c>
      <c r="V90" s="10">
        <v>1.02</v>
      </c>
      <c r="W90" s="10">
        <v>0</v>
      </c>
      <c r="X90" s="10">
        <v>1.02</v>
      </c>
      <c r="Y90" s="10">
        <v>1.02</v>
      </c>
      <c r="Z90" s="10">
        <v>0.26</v>
      </c>
      <c r="AA90" s="10">
        <v>0.1</v>
      </c>
      <c r="AB90" s="10">
        <v>0.26</v>
      </c>
      <c r="AC90" s="10"/>
      <c r="AD90" s="2"/>
      <c r="AE90" s="7"/>
    </row>
    <row r="91" spans="1:31" hidden="1" x14ac:dyDescent="0.35">
      <c r="A91" s="15">
        <f t="shared" si="3"/>
        <v>407</v>
      </c>
      <c r="B91" s="16">
        <v>4</v>
      </c>
      <c r="C91" s="13" t="s">
        <v>215</v>
      </c>
      <c r="D91" s="10">
        <v>5</v>
      </c>
      <c r="E91" s="10">
        <v>1</v>
      </c>
      <c r="F91" s="10">
        <v>97</v>
      </c>
      <c r="G91" s="10">
        <v>1.1000000000000001</v>
      </c>
      <c r="H91" s="10">
        <v>1</v>
      </c>
      <c r="I91" s="10">
        <v>0</v>
      </c>
      <c r="J91" s="10">
        <v>1</v>
      </c>
      <c r="K91" s="10">
        <v>1</v>
      </c>
      <c r="L91" s="10">
        <v>0</v>
      </c>
      <c r="M91" s="10">
        <v>0</v>
      </c>
      <c r="N91" s="10">
        <v>0</v>
      </c>
      <c r="O91" s="10">
        <v>0</v>
      </c>
      <c r="P91" s="10">
        <v>0.7</v>
      </c>
      <c r="Q91" s="10">
        <v>0.7</v>
      </c>
      <c r="R91" s="10">
        <v>0</v>
      </c>
      <c r="S91" s="10">
        <v>2</v>
      </c>
      <c r="T91" s="10">
        <v>2</v>
      </c>
      <c r="U91" s="10">
        <v>5</v>
      </c>
      <c r="V91" s="10">
        <v>0.93</v>
      </c>
      <c r="W91" s="10">
        <v>0</v>
      </c>
      <c r="X91" s="10">
        <v>0.93</v>
      </c>
      <c r="Y91" s="10">
        <v>0.93</v>
      </c>
      <c r="Z91" s="10">
        <v>0.65</v>
      </c>
      <c r="AA91" s="10">
        <v>0</v>
      </c>
      <c r="AB91" s="10">
        <v>0.65</v>
      </c>
      <c r="AC91" s="10"/>
      <c r="AD91" s="2"/>
      <c r="AE91" s="7"/>
    </row>
    <row r="92" spans="1:31" hidden="1" x14ac:dyDescent="0.35">
      <c r="A92" s="15">
        <f t="shared" si="3"/>
        <v>408</v>
      </c>
      <c r="B92" s="16">
        <v>4</v>
      </c>
      <c r="C92" s="13" t="s">
        <v>219</v>
      </c>
      <c r="D92" s="10">
        <v>5</v>
      </c>
      <c r="E92" s="10">
        <v>0</v>
      </c>
      <c r="F92" s="10">
        <v>91</v>
      </c>
      <c r="G92" s="10">
        <v>1</v>
      </c>
      <c r="H92" s="10">
        <v>0</v>
      </c>
      <c r="I92" s="10">
        <v>1</v>
      </c>
      <c r="J92" s="10">
        <v>1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0.1</v>
      </c>
      <c r="S92" s="10">
        <v>2</v>
      </c>
      <c r="T92" s="10">
        <v>4</v>
      </c>
      <c r="U92" s="10">
        <v>2</v>
      </c>
      <c r="V92" s="10">
        <v>0</v>
      </c>
      <c r="W92" s="10">
        <v>0.99</v>
      </c>
      <c r="X92" s="10">
        <v>0.99</v>
      </c>
      <c r="Y92" s="10">
        <v>0</v>
      </c>
      <c r="Z92" s="10">
        <v>0</v>
      </c>
      <c r="AA92" s="10">
        <v>0.12</v>
      </c>
      <c r="AB92" s="10">
        <v>0</v>
      </c>
      <c r="AC92" s="10"/>
      <c r="AD92" s="2"/>
      <c r="AE92" s="7"/>
    </row>
    <row r="93" spans="1:31" hidden="1" x14ac:dyDescent="0.35">
      <c r="A93" s="15">
        <f t="shared" si="3"/>
        <v>409</v>
      </c>
      <c r="B93" s="16">
        <v>4</v>
      </c>
      <c r="C93" s="13" t="s">
        <v>231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/>
      <c r="AD93" s="2"/>
      <c r="AE93" s="7"/>
    </row>
    <row r="94" spans="1:31" hidden="1" x14ac:dyDescent="0.35">
      <c r="A94" s="15">
        <f t="shared" si="3"/>
        <v>410</v>
      </c>
      <c r="B94" s="16">
        <v>4</v>
      </c>
      <c r="C94" s="13" t="s">
        <v>198</v>
      </c>
      <c r="D94" s="10">
        <v>8</v>
      </c>
      <c r="E94" s="10">
        <v>7</v>
      </c>
      <c r="F94" s="10">
        <v>565</v>
      </c>
      <c r="G94" s="10">
        <v>6.3</v>
      </c>
      <c r="H94" s="10">
        <v>0</v>
      </c>
      <c r="I94" s="10">
        <v>2</v>
      </c>
      <c r="J94" s="10">
        <v>2</v>
      </c>
      <c r="K94" s="10">
        <v>0</v>
      </c>
      <c r="L94" s="10">
        <v>0</v>
      </c>
      <c r="M94" s="10">
        <v>0</v>
      </c>
      <c r="N94" s="10">
        <v>2</v>
      </c>
      <c r="O94" s="10">
        <v>0</v>
      </c>
      <c r="P94" s="10">
        <v>0</v>
      </c>
      <c r="Q94" s="10">
        <v>0</v>
      </c>
      <c r="R94" s="10">
        <v>0.6</v>
      </c>
      <c r="S94" s="10">
        <v>4</v>
      </c>
      <c r="T94" s="10">
        <v>32</v>
      </c>
      <c r="U94" s="10">
        <v>3</v>
      </c>
      <c r="V94" s="10">
        <v>0</v>
      </c>
      <c r="W94" s="10">
        <v>0.32</v>
      </c>
      <c r="X94" s="10">
        <v>0.32</v>
      </c>
      <c r="Y94" s="10">
        <v>0</v>
      </c>
      <c r="Z94" s="10">
        <v>0.01</v>
      </c>
      <c r="AA94" s="10">
        <v>0.09</v>
      </c>
      <c r="AB94" s="10">
        <v>0.01</v>
      </c>
      <c r="AC94" s="10"/>
      <c r="AD94" s="2"/>
      <c r="AE94" s="7"/>
    </row>
    <row r="95" spans="1:31" hidden="1" x14ac:dyDescent="0.35">
      <c r="A95" s="15">
        <f t="shared" si="3"/>
        <v>411</v>
      </c>
      <c r="B95" s="16">
        <v>4</v>
      </c>
      <c r="C95" s="13" t="s">
        <v>202</v>
      </c>
      <c r="D95" s="10">
        <v>7</v>
      </c>
      <c r="E95" s="10">
        <v>5</v>
      </c>
      <c r="F95" s="10">
        <v>414</v>
      </c>
      <c r="G95" s="10">
        <v>4.5999999999999996</v>
      </c>
      <c r="H95" s="10">
        <v>0</v>
      </c>
      <c r="I95" s="10">
        <v>1</v>
      </c>
      <c r="J95" s="10">
        <v>1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0.2</v>
      </c>
      <c r="Q95" s="10">
        <v>0.2</v>
      </c>
      <c r="R95" s="10">
        <v>0.3</v>
      </c>
      <c r="S95" s="10">
        <v>6</v>
      </c>
      <c r="T95" s="10">
        <v>6</v>
      </c>
      <c r="U95" s="10">
        <v>13</v>
      </c>
      <c r="V95" s="10">
        <v>0</v>
      </c>
      <c r="W95" s="10">
        <v>0.22</v>
      </c>
      <c r="X95" s="10">
        <v>0.22</v>
      </c>
      <c r="Y95" s="10">
        <v>0</v>
      </c>
      <c r="Z95" s="10">
        <v>0.04</v>
      </c>
      <c r="AA95" s="10">
        <v>7.0000000000000007E-2</v>
      </c>
      <c r="AB95" s="10">
        <v>0.04</v>
      </c>
      <c r="AC95" s="10"/>
      <c r="AD95" s="2"/>
      <c r="AE95" s="7"/>
    </row>
    <row r="96" spans="1:31" hidden="1" x14ac:dyDescent="0.35">
      <c r="A96" s="15">
        <f t="shared" si="3"/>
        <v>412</v>
      </c>
      <c r="B96" s="16">
        <v>4</v>
      </c>
      <c r="C96" s="13" t="s">
        <v>196</v>
      </c>
      <c r="D96" s="10">
        <v>8</v>
      </c>
      <c r="E96" s="10">
        <v>7</v>
      </c>
      <c r="F96" s="10">
        <v>662</v>
      </c>
      <c r="G96" s="10">
        <v>7.4</v>
      </c>
      <c r="H96" s="10">
        <v>1</v>
      </c>
      <c r="I96" s="10">
        <v>1</v>
      </c>
      <c r="J96" s="10">
        <v>2</v>
      </c>
      <c r="K96" s="10">
        <v>1</v>
      </c>
      <c r="L96" s="10">
        <v>0</v>
      </c>
      <c r="M96" s="10">
        <v>1</v>
      </c>
      <c r="N96" s="10">
        <v>2</v>
      </c>
      <c r="O96" s="10">
        <v>0</v>
      </c>
      <c r="P96" s="10">
        <v>2.1</v>
      </c>
      <c r="Q96" s="10">
        <v>1.3</v>
      </c>
      <c r="R96" s="10">
        <v>0.8</v>
      </c>
      <c r="S96" s="10">
        <v>15</v>
      </c>
      <c r="T96" s="10">
        <v>4</v>
      </c>
      <c r="U96" s="10">
        <v>26</v>
      </c>
      <c r="V96" s="10">
        <v>0.14000000000000001</v>
      </c>
      <c r="W96" s="10">
        <v>0.14000000000000001</v>
      </c>
      <c r="X96" s="10">
        <v>0.27</v>
      </c>
      <c r="Y96" s="10">
        <v>0.14000000000000001</v>
      </c>
      <c r="Z96" s="10">
        <v>0.28999999999999998</v>
      </c>
      <c r="AA96" s="10">
        <v>0.1</v>
      </c>
      <c r="AB96" s="10">
        <v>0.18</v>
      </c>
      <c r="AC96" s="10"/>
      <c r="AD96" s="2"/>
      <c r="AE96" s="7"/>
    </row>
    <row r="97" spans="1:31" hidden="1" x14ac:dyDescent="0.35">
      <c r="A97" s="15">
        <f t="shared" si="3"/>
        <v>413</v>
      </c>
      <c r="B97" s="16">
        <v>4</v>
      </c>
      <c r="C97" s="13" t="s">
        <v>213</v>
      </c>
      <c r="D97" s="10">
        <v>6</v>
      </c>
      <c r="E97" s="10">
        <v>1</v>
      </c>
      <c r="F97" s="10">
        <v>172</v>
      </c>
      <c r="G97" s="10">
        <v>1.9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1</v>
      </c>
      <c r="O97" s="10">
        <v>0</v>
      </c>
      <c r="P97" s="10">
        <v>0.1</v>
      </c>
      <c r="Q97" s="10">
        <v>0.1</v>
      </c>
      <c r="R97" s="10">
        <v>0.1</v>
      </c>
      <c r="S97" s="10">
        <v>12</v>
      </c>
      <c r="T97" s="10">
        <v>2</v>
      </c>
      <c r="U97" s="10">
        <v>11</v>
      </c>
      <c r="V97" s="10">
        <v>0</v>
      </c>
      <c r="W97" s="10">
        <v>0</v>
      </c>
      <c r="X97" s="10">
        <v>0</v>
      </c>
      <c r="Y97" s="10">
        <v>0</v>
      </c>
      <c r="Z97" s="10">
        <v>7.0000000000000007E-2</v>
      </c>
      <c r="AA97" s="10">
        <v>7.0000000000000007E-2</v>
      </c>
      <c r="AB97" s="10">
        <v>7.0000000000000007E-2</v>
      </c>
      <c r="AC97" s="10"/>
      <c r="AD97" s="2"/>
      <c r="AE97" s="7"/>
    </row>
    <row r="98" spans="1:31" hidden="1" x14ac:dyDescent="0.35">
      <c r="A98" s="15">
        <f t="shared" si="3"/>
        <v>414</v>
      </c>
      <c r="B98" s="16">
        <v>4</v>
      </c>
      <c r="C98" s="13" t="s">
        <v>229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/>
      <c r="AD98" s="2"/>
      <c r="AE98" s="7"/>
    </row>
    <row r="99" spans="1:31" hidden="1" x14ac:dyDescent="0.35">
      <c r="A99" s="15">
        <f t="shared" si="3"/>
        <v>415</v>
      </c>
      <c r="B99" s="16">
        <v>4</v>
      </c>
      <c r="C99" s="13" t="s">
        <v>208</v>
      </c>
      <c r="D99" s="10">
        <v>5</v>
      </c>
      <c r="E99" s="10">
        <v>2</v>
      </c>
      <c r="F99" s="10">
        <v>187</v>
      </c>
      <c r="G99" s="10">
        <v>2.1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1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4</v>
      </c>
      <c r="U99" s="10">
        <v>5</v>
      </c>
      <c r="V99" s="10">
        <v>0</v>
      </c>
      <c r="W99" s="10">
        <v>0</v>
      </c>
      <c r="X99" s="10">
        <v>0</v>
      </c>
      <c r="Y99" s="10">
        <v>0</v>
      </c>
      <c r="Z99" s="10">
        <v>0.01</v>
      </c>
      <c r="AA99" s="10">
        <v>0</v>
      </c>
      <c r="AB99" s="10">
        <v>0.01</v>
      </c>
      <c r="AC99" s="10"/>
      <c r="AD99" s="2"/>
      <c r="AE99" s="7"/>
    </row>
    <row r="100" spans="1:31" hidden="1" x14ac:dyDescent="0.35">
      <c r="A100" s="15">
        <f t="shared" si="3"/>
        <v>416</v>
      </c>
      <c r="B100" s="16">
        <v>4</v>
      </c>
      <c r="C100" s="13" t="s">
        <v>190</v>
      </c>
      <c r="D100" s="10">
        <v>8</v>
      </c>
      <c r="E100" s="10">
        <v>8</v>
      </c>
      <c r="F100" s="10">
        <v>706</v>
      </c>
      <c r="G100" s="10">
        <v>7.8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1.1000000000000001</v>
      </c>
      <c r="S100" s="10">
        <v>12</v>
      </c>
      <c r="T100" s="10">
        <v>16</v>
      </c>
      <c r="U100" s="10">
        <v>34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0.14000000000000001</v>
      </c>
      <c r="AB100" s="10">
        <v>0</v>
      </c>
      <c r="AC100" s="10"/>
      <c r="AD100" s="2"/>
      <c r="AE100" s="7"/>
    </row>
    <row r="101" spans="1:31" hidden="1" x14ac:dyDescent="0.35">
      <c r="A101" s="15">
        <f t="shared" si="3"/>
        <v>417</v>
      </c>
      <c r="B101" s="16">
        <v>4</v>
      </c>
      <c r="C101" s="13" t="s">
        <v>200</v>
      </c>
      <c r="D101" s="10">
        <v>6</v>
      </c>
      <c r="E101" s="10">
        <v>6</v>
      </c>
      <c r="F101" s="10">
        <v>487</v>
      </c>
      <c r="G101" s="10">
        <v>5.4</v>
      </c>
      <c r="H101" s="10">
        <v>1</v>
      </c>
      <c r="I101" s="10">
        <v>0</v>
      </c>
      <c r="J101" s="10">
        <v>1</v>
      </c>
      <c r="K101" s="10">
        <v>1</v>
      </c>
      <c r="L101" s="10">
        <v>0</v>
      </c>
      <c r="M101" s="10">
        <v>0</v>
      </c>
      <c r="N101" s="10">
        <v>0</v>
      </c>
      <c r="O101" s="10">
        <v>0</v>
      </c>
      <c r="P101" s="10">
        <v>0.3</v>
      </c>
      <c r="Q101" s="10">
        <v>0.3</v>
      </c>
      <c r="R101" s="10">
        <v>0.7</v>
      </c>
      <c r="S101" s="10">
        <v>12</v>
      </c>
      <c r="T101" s="10">
        <v>24</v>
      </c>
      <c r="U101" s="10">
        <v>22</v>
      </c>
      <c r="V101" s="10">
        <v>0.18</v>
      </c>
      <c r="W101" s="10">
        <v>0</v>
      </c>
      <c r="X101" s="10">
        <v>0.18</v>
      </c>
      <c r="Y101" s="10">
        <v>0.18</v>
      </c>
      <c r="Z101" s="10">
        <v>0.05</v>
      </c>
      <c r="AA101" s="10">
        <v>0.14000000000000001</v>
      </c>
      <c r="AB101" s="10">
        <v>0.05</v>
      </c>
      <c r="AC101" s="10"/>
      <c r="AD101" s="2"/>
      <c r="AE101" s="7"/>
    </row>
    <row r="102" spans="1:31" hidden="1" x14ac:dyDescent="0.35">
      <c r="A102" s="15">
        <f t="shared" si="3"/>
        <v>418</v>
      </c>
      <c r="B102" s="16">
        <v>4</v>
      </c>
      <c r="C102" s="13" t="s">
        <v>227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/>
      <c r="AD102" s="2"/>
      <c r="AE102" s="7"/>
    </row>
    <row r="103" spans="1:31" hidden="1" x14ac:dyDescent="0.35">
      <c r="A103" s="15">
        <f t="shared" si="3"/>
        <v>419</v>
      </c>
      <c r="B103" s="16">
        <v>4</v>
      </c>
      <c r="C103" s="13" t="s">
        <v>184</v>
      </c>
      <c r="D103" s="10">
        <v>8</v>
      </c>
      <c r="E103" s="10">
        <v>8</v>
      </c>
      <c r="F103" s="10">
        <v>720</v>
      </c>
      <c r="G103" s="10">
        <v>8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3</v>
      </c>
      <c r="O103" s="10">
        <v>0</v>
      </c>
      <c r="P103" s="10">
        <v>0.2</v>
      </c>
      <c r="Q103" s="10">
        <v>0.2</v>
      </c>
      <c r="R103" s="10">
        <v>0.5</v>
      </c>
      <c r="S103" s="10">
        <v>2</v>
      </c>
      <c r="T103" s="10">
        <v>17</v>
      </c>
      <c r="U103" s="10">
        <v>1</v>
      </c>
      <c r="V103" s="10">
        <v>0</v>
      </c>
      <c r="W103" s="10">
        <v>0</v>
      </c>
      <c r="X103" s="10">
        <v>0</v>
      </c>
      <c r="Y103" s="10">
        <v>0</v>
      </c>
      <c r="Z103" s="10">
        <v>0.03</v>
      </c>
      <c r="AA103" s="10">
        <v>7.0000000000000007E-2</v>
      </c>
      <c r="AB103" s="10">
        <v>0.03</v>
      </c>
      <c r="AC103" s="10"/>
      <c r="AD103" s="2"/>
      <c r="AE103" s="7"/>
    </row>
    <row r="104" spans="1:31" hidden="1" x14ac:dyDescent="0.35">
      <c r="A104" s="15">
        <f t="shared" si="3"/>
        <v>420</v>
      </c>
      <c r="B104" s="16">
        <v>4</v>
      </c>
      <c r="C104" s="13" t="s">
        <v>225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/>
      <c r="AD104" s="2"/>
      <c r="AE104" s="7"/>
    </row>
    <row r="105" spans="1:31" hidden="1" x14ac:dyDescent="0.35">
      <c r="A105" s="15">
        <f t="shared" si="3"/>
        <v>421</v>
      </c>
      <c r="B105" s="16">
        <v>4</v>
      </c>
      <c r="C105" s="13" t="s">
        <v>212</v>
      </c>
      <c r="D105" s="10">
        <v>2</v>
      </c>
      <c r="E105" s="10">
        <v>2</v>
      </c>
      <c r="F105" s="10">
        <v>155</v>
      </c>
      <c r="G105" s="10">
        <v>1.7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1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2</v>
      </c>
      <c r="U105" s="10">
        <v>2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/>
      <c r="AD105" s="5"/>
      <c r="AE105" s="7"/>
    </row>
    <row r="106" spans="1:31" hidden="1" x14ac:dyDescent="0.35">
      <c r="A106" s="15">
        <f t="shared" si="3"/>
        <v>422</v>
      </c>
      <c r="B106" s="16">
        <v>4</v>
      </c>
      <c r="C106" s="13" t="s">
        <v>186</v>
      </c>
      <c r="D106" s="10">
        <v>8</v>
      </c>
      <c r="E106" s="10">
        <v>8</v>
      </c>
      <c r="F106" s="10">
        <v>720</v>
      </c>
      <c r="G106" s="10">
        <v>8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1</v>
      </c>
      <c r="Q106" s="10">
        <v>1</v>
      </c>
      <c r="R106" s="10">
        <v>0.1</v>
      </c>
      <c r="S106" s="10">
        <v>3</v>
      </c>
      <c r="T106" s="10">
        <v>16</v>
      </c>
      <c r="U106" s="10">
        <v>5</v>
      </c>
      <c r="V106" s="10">
        <v>0</v>
      </c>
      <c r="W106" s="10">
        <v>0</v>
      </c>
      <c r="X106" s="10">
        <v>0</v>
      </c>
      <c r="Y106" s="10">
        <v>0</v>
      </c>
      <c r="Z106" s="10">
        <v>0.12</v>
      </c>
      <c r="AA106" s="10">
        <v>0.01</v>
      </c>
      <c r="AB106" s="10">
        <v>0.12</v>
      </c>
      <c r="AC106" s="10"/>
      <c r="AD106" s="5"/>
      <c r="AE106" s="7"/>
    </row>
    <row r="107" spans="1:31" hidden="1" x14ac:dyDescent="0.35">
      <c r="A107" s="15">
        <f t="shared" si="3"/>
        <v>423</v>
      </c>
      <c r="B107" s="16">
        <v>4</v>
      </c>
      <c r="C107" s="13" t="s">
        <v>194</v>
      </c>
      <c r="D107" s="10">
        <v>8</v>
      </c>
      <c r="E107" s="10">
        <v>8</v>
      </c>
      <c r="F107" s="10">
        <v>652</v>
      </c>
      <c r="G107" s="10">
        <v>7.2</v>
      </c>
      <c r="H107" s="10">
        <v>5</v>
      </c>
      <c r="I107" s="10">
        <v>0</v>
      </c>
      <c r="J107" s="10">
        <v>5</v>
      </c>
      <c r="K107" s="10">
        <v>4</v>
      </c>
      <c r="L107" s="10">
        <v>1</v>
      </c>
      <c r="M107" s="10">
        <v>1</v>
      </c>
      <c r="N107" s="10">
        <v>2</v>
      </c>
      <c r="O107" s="10">
        <v>0</v>
      </c>
      <c r="P107" s="10">
        <v>3.3</v>
      </c>
      <c r="Q107" s="10">
        <v>2.6</v>
      </c>
      <c r="R107" s="10">
        <v>1.1000000000000001</v>
      </c>
      <c r="S107" s="10">
        <v>4</v>
      </c>
      <c r="T107" s="10">
        <v>6</v>
      </c>
      <c r="U107" s="10">
        <v>23</v>
      </c>
      <c r="V107" s="10">
        <v>0.69</v>
      </c>
      <c r="W107" s="10">
        <v>0</v>
      </c>
      <c r="X107" s="10">
        <v>0.69</v>
      </c>
      <c r="Y107" s="10">
        <v>0.55000000000000004</v>
      </c>
      <c r="Z107" s="10">
        <v>0.46</v>
      </c>
      <c r="AA107" s="10">
        <v>0.15</v>
      </c>
      <c r="AB107" s="10">
        <v>0.35</v>
      </c>
      <c r="AC107" s="10"/>
      <c r="AD107" s="5"/>
      <c r="AE107" s="7"/>
    </row>
    <row r="108" spans="1:31" hidden="1" x14ac:dyDescent="0.35">
      <c r="A108" s="15">
        <f t="shared" si="3"/>
        <v>424</v>
      </c>
      <c r="B108" s="16">
        <v>4</v>
      </c>
      <c r="C108" s="13" t="s">
        <v>221</v>
      </c>
      <c r="D108" s="10">
        <v>4</v>
      </c>
      <c r="E108" s="10">
        <v>0</v>
      </c>
      <c r="F108" s="10">
        <v>60</v>
      </c>
      <c r="G108" s="10">
        <v>0.7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0.1</v>
      </c>
      <c r="Q108" s="10">
        <v>0.1</v>
      </c>
      <c r="R108" s="10">
        <v>0</v>
      </c>
      <c r="S108" s="10">
        <v>0</v>
      </c>
      <c r="T108" s="10">
        <v>3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0.16</v>
      </c>
      <c r="AA108" s="10">
        <v>0.02</v>
      </c>
      <c r="AB108" s="10">
        <v>0.16</v>
      </c>
      <c r="AC108" s="10"/>
      <c r="AD108" s="5"/>
      <c r="AE108" s="7"/>
    </row>
    <row r="109" spans="1:31" hidden="1" x14ac:dyDescent="0.35">
      <c r="A109" s="15">
        <f t="shared" si="3"/>
        <v>425</v>
      </c>
      <c r="B109" s="16">
        <v>4</v>
      </c>
      <c r="C109" s="13" t="s">
        <v>192</v>
      </c>
      <c r="D109" s="10">
        <v>8</v>
      </c>
      <c r="E109" s="10">
        <v>8</v>
      </c>
      <c r="F109" s="10">
        <v>691</v>
      </c>
      <c r="G109" s="10">
        <v>7.7</v>
      </c>
      <c r="H109" s="10">
        <v>0</v>
      </c>
      <c r="I109" s="10">
        <v>1</v>
      </c>
      <c r="J109" s="10">
        <v>1</v>
      </c>
      <c r="K109" s="10">
        <v>0</v>
      </c>
      <c r="L109" s="10">
        <v>0</v>
      </c>
      <c r="M109" s="10">
        <v>0</v>
      </c>
      <c r="N109" s="10">
        <v>1</v>
      </c>
      <c r="O109" s="10">
        <v>0</v>
      </c>
      <c r="P109" s="10">
        <v>0.2</v>
      </c>
      <c r="Q109" s="10">
        <v>0.2</v>
      </c>
      <c r="R109" s="10">
        <v>0.3</v>
      </c>
      <c r="S109" s="10">
        <v>10</v>
      </c>
      <c r="T109" s="10">
        <v>28</v>
      </c>
      <c r="U109" s="10">
        <v>7</v>
      </c>
      <c r="V109" s="10">
        <v>0</v>
      </c>
      <c r="W109" s="10">
        <v>0.13</v>
      </c>
      <c r="X109" s="10">
        <v>0.13</v>
      </c>
      <c r="Y109" s="10">
        <v>0</v>
      </c>
      <c r="Z109" s="10">
        <v>0.03</v>
      </c>
      <c r="AA109" s="10">
        <v>0.04</v>
      </c>
      <c r="AB109" s="10">
        <v>0.03</v>
      </c>
      <c r="AC109" s="10"/>
      <c r="AD109" s="2"/>
      <c r="AE109" s="7"/>
    </row>
    <row r="110" spans="1:31" hidden="1" x14ac:dyDescent="0.35">
      <c r="A110" s="15">
        <v>501</v>
      </c>
      <c r="B110" s="16">
        <v>5</v>
      </c>
      <c r="C110" s="13" t="s">
        <v>237</v>
      </c>
      <c r="D110" s="10">
        <v>8</v>
      </c>
      <c r="E110" s="10">
        <v>8</v>
      </c>
      <c r="F110" s="10">
        <v>720</v>
      </c>
      <c r="G110" s="10">
        <v>8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0.1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0.02</v>
      </c>
      <c r="AB110" s="10">
        <v>0</v>
      </c>
      <c r="AC110" s="10"/>
      <c r="AD110" s="2"/>
      <c r="AE110" s="7"/>
    </row>
    <row r="111" spans="1:31" hidden="1" x14ac:dyDescent="0.35">
      <c r="A111" s="15">
        <f>A110+1</f>
        <v>502</v>
      </c>
      <c r="B111" s="16">
        <v>5</v>
      </c>
      <c r="C111" s="13" t="s">
        <v>260</v>
      </c>
      <c r="D111" s="10">
        <v>7</v>
      </c>
      <c r="E111" s="10">
        <v>2</v>
      </c>
      <c r="F111" s="10">
        <v>223</v>
      </c>
      <c r="G111" s="10">
        <v>2.5</v>
      </c>
      <c r="H111" s="10">
        <v>1</v>
      </c>
      <c r="I111" s="10">
        <v>1</v>
      </c>
      <c r="J111" s="10">
        <v>2</v>
      </c>
      <c r="K111" s="10">
        <v>1</v>
      </c>
      <c r="L111" s="10">
        <v>0</v>
      </c>
      <c r="M111" s="10">
        <v>0</v>
      </c>
      <c r="N111" s="10">
        <v>0</v>
      </c>
      <c r="O111" s="10">
        <v>0</v>
      </c>
      <c r="P111" s="10">
        <v>1.4</v>
      </c>
      <c r="Q111" s="10">
        <v>1.4</v>
      </c>
      <c r="R111" s="10">
        <v>0.5</v>
      </c>
      <c r="S111" s="10">
        <v>8</v>
      </c>
      <c r="T111" s="10">
        <v>6</v>
      </c>
      <c r="U111" s="10">
        <v>26</v>
      </c>
      <c r="V111" s="10">
        <v>0.4</v>
      </c>
      <c r="W111" s="10">
        <v>0.4</v>
      </c>
      <c r="X111" s="10">
        <v>0.81</v>
      </c>
      <c r="Y111" s="10">
        <v>0.4</v>
      </c>
      <c r="Z111" s="10">
        <v>0.56999999999999995</v>
      </c>
      <c r="AA111" s="10">
        <v>0.18</v>
      </c>
      <c r="AB111" s="10">
        <v>0.56999999999999995</v>
      </c>
      <c r="AC111" s="10"/>
      <c r="AD111" s="2"/>
      <c r="AE111" s="7"/>
    </row>
    <row r="112" spans="1:31" hidden="1" x14ac:dyDescent="0.35">
      <c r="A112" s="15">
        <f t="shared" ref="A112:A133" si="4">A111+1</f>
        <v>503</v>
      </c>
      <c r="B112" s="16">
        <v>5</v>
      </c>
      <c r="C112" s="13" t="s">
        <v>243</v>
      </c>
      <c r="D112" s="10">
        <v>8</v>
      </c>
      <c r="E112" s="10">
        <v>6</v>
      </c>
      <c r="F112" s="10">
        <v>634</v>
      </c>
      <c r="G112" s="10">
        <v>7</v>
      </c>
      <c r="H112" s="10">
        <v>1</v>
      </c>
      <c r="I112" s="10">
        <v>0</v>
      </c>
      <c r="J112" s="10">
        <v>1</v>
      </c>
      <c r="K112" s="10">
        <v>1</v>
      </c>
      <c r="L112" s="10">
        <v>0</v>
      </c>
      <c r="M112" s="10">
        <v>0</v>
      </c>
      <c r="N112" s="10">
        <v>0</v>
      </c>
      <c r="O112" s="10">
        <v>0</v>
      </c>
      <c r="P112" s="10">
        <v>0.5</v>
      </c>
      <c r="Q112" s="10">
        <v>0.5</v>
      </c>
      <c r="R112" s="10">
        <v>0.3</v>
      </c>
      <c r="S112" s="10">
        <v>6</v>
      </c>
      <c r="T112" s="10">
        <v>25</v>
      </c>
      <c r="U112" s="10">
        <v>12</v>
      </c>
      <c r="V112" s="10">
        <v>0.14000000000000001</v>
      </c>
      <c r="W112" s="10">
        <v>0</v>
      </c>
      <c r="X112" s="10">
        <v>0.14000000000000001</v>
      </c>
      <c r="Y112" s="10">
        <v>0.14000000000000001</v>
      </c>
      <c r="Z112" s="10">
        <v>0.08</v>
      </c>
      <c r="AA112" s="10">
        <v>0.04</v>
      </c>
      <c r="AB112" s="10">
        <v>0.08</v>
      </c>
      <c r="AC112" s="10"/>
      <c r="AD112" s="2"/>
      <c r="AE112" s="7"/>
    </row>
    <row r="113" spans="1:31" hidden="1" x14ac:dyDescent="0.35">
      <c r="A113" s="15">
        <f t="shared" si="4"/>
        <v>504</v>
      </c>
      <c r="B113" s="16">
        <v>5</v>
      </c>
      <c r="C113" s="13" t="s">
        <v>274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/>
      <c r="AD113" s="2"/>
      <c r="AE113" s="7"/>
    </row>
    <row r="114" spans="1:31" hidden="1" x14ac:dyDescent="0.35">
      <c r="A114" s="15">
        <f t="shared" si="4"/>
        <v>505</v>
      </c>
      <c r="B114" s="16">
        <v>5</v>
      </c>
      <c r="C114" s="13" t="s">
        <v>246</v>
      </c>
      <c r="D114" s="10">
        <v>8</v>
      </c>
      <c r="E114" s="10">
        <v>5</v>
      </c>
      <c r="F114" s="10">
        <v>457</v>
      </c>
      <c r="G114" s="10">
        <v>5.0999999999999996</v>
      </c>
      <c r="H114" s="10">
        <v>4</v>
      </c>
      <c r="I114" s="10">
        <v>0</v>
      </c>
      <c r="J114" s="10">
        <v>4</v>
      </c>
      <c r="K114" s="10">
        <v>4</v>
      </c>
      <c r="L114" s="10">
        <v>0</v>
      </c>
      <c r="M114" s="10">
        <v>1</v>
      </c>
      <c r="N114" s="10">
        <v>2</v>
      </c>
      <c r="O114" s="10">
        <v>0</v>
      </c>
      <c r="P114" s="10">
        <v>3</v>
      </c>
      <c r="Q114" s="10">
        <v>2.2000000000000002</v>
      </c>
      <c r="R114" s="10">
        <v>0.2</v>
      </c>
      <c r="S114" s="10">
        <v>2</v>
      </c>
      <c r="T114" s="10">
        <v>6</v>
      </c>
      <c r="U114" s="10">
        <v>14</v>
      </c>
      <c r="V114" s="10">
        <v>0.79</v>
      </c>
      <c r="W114" s="10">
        <v>0</v>
      </c>
      <c r="X114" s="10">
        <v>0.79</v>
      </c>
      <c r="Y114" s="10">
        <v>0.79</v>
      </c>
      <c r="Z114" s="10">
        <v>0.6</v>
      </c>
      <c r="AA114" s="10">
        <v>0.04</v>
      </c>
      <c r="AB114" s="10">
        <v>0.44</v>
      </c>
      <c r="AC114" s="10"/>
      <c r="AD114" s="2"/>
      <c r="AE114" s="7"/>
    </row>
    <row r="115" spans="1:31" hidden="1" x14ac:dyDescent="0.35">
      <c r="A115" s="15">
        <f t="shared" si="4"/>
        <v>506</v>
      </c>
      <c r="B115" s="16">
        <v>5</v>
      </c>
      <c r="C115" s="13" t="s">
        <v>270</v>
      </c>
      <c r="D115" s="10">
        <v>3</v>
      </c>
      <c r="E115" s="10">
        <v>0</v>
      </c>
      <c r="F115" s="10">
        <v>18</v>
      </c>
      <c r="G115" s="10">
        <v>0.2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2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/>
      <c r="AD115" s="2"/>
      <c r="AE115" s="7"/>
    </row>
    <row r="116" spans="1:31" hidden="1" x14ac:dyDescent="0.35">
      <c r="A116" s="15">
        <f t="shared" si="4"/>
        <v>507</v>
      </c>
      <c r="B116" s="16">
        <v>5</v>
      </c>
      <c r="C116" s="13" t="s">
        <v>256</v>
      </c>
      <c r="D116" s="10">
        <v>7</v>
      </c>
      <c r="E116" s="10">
        <v>4</v>
      </c>
      <c r="F116" s="10">
        <v>346</v>
      </c>
      <c r="G116" s="10">
        <v>3.8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2</v>
      </c>
      <c r="O116" s="10">
        <v>0</v>
      </c>
      <c r="P116" s="10">
        <v>0.2</v>
      </c>
      <c r="Q116" s="10">
        <v>0.2</v>
      </c>
      <c r="R116" s="10">
        <v>0.5</v>
      </c>
      <c r="S116" s="10">
        <v>3</v>
      </c>
      <c r="T116" s="10">
        <v>9</v>
      </c>
      <c r="U116" s="10">
        <v>11</v>
      </c>
      <c r="V116" s="10">
        <v>0</v>
      </c>
      <c r="W116" s="10">
        <v>0</v>
      </c>
      <c r="X116" s="10">
        <v>0</v>
      </c>
      <c r="Y116" s="10">
        <v>0</v>
      </c>
      <c r="Z116" s="10">
        <v>0.06</v>
      </c>
      <c r="AA116" s="10">
        <v>0.12</v>
      </c>
      <c r="AB116" s="10">
        <v>0.06</v>
      </c>
      <c r="AC116" s="10"/>
      <c r="AD116" s="2"/>
      <c r="AE116" s="7"/>
    </row>
    <row r="117" spans="1:31" hidden="1" x14ac:dyDescent="0.35">
      <c r="A117" s="15">
        <f t="shared" si="4"/>
        <v>508</v>
      </c>
      <c r="B117" s="16">
        <v>5</v>
      </c>
      <c r="C117" s="13" t="s">
        <v>254</v>
      </c>
      <c r="D117" s="10">
        <v>7</v>
      </c>
      <c r="E117" s="10">
        <v>4</v>
      </c>
      <c r="F117" s="10">
        <v>351</v>
      </c>
      <c r="G117" s="10">
        <v>3.9</v>
      </c>
      <c r="H117" s="10">
        <v>1</v>
      </c>
      <c r="I117" s="10">
        <v>0</v>
      </c>
      <c r="J117" s="10">
        <v>1</v>
      </c>
      <c r="K117" s="10">
        <v>1</v>
      </c>
      <c r="L117" s="10">
        <v>0</v>
      </c>
      <c r="M117" s="10">
        <v>0</v>
      </c>
      <c r="N117" s="10">
        <v>1</v>
      </c>
      <c r="O117" s="10">
        <v>0</v>
      </c>
      <c r="P117" s="10">
        <v>0.7</v>
      </c>
      <c r="Q117" s="10">
        <v>0.7</v>
      </c>
      <c r="R117" s="10">
        <v>0.1</v>
      </c>
      <c r="S117" s="10">
        <v>3</v>
      </c>
      <c r="T117" s="10">
        <v>16</v>
      </c>
      <c r="U117" s="10">
        <v>13</v>
      </c>
      <c r="V117" s="10">
        <v>0.26</v>
      </c>
      <c r="W117" s="10">
        <v>0</v>
      </c>
      <c r="X117" s="10">
        <v>0.26</v>
      </c>
      <c r="Y117" s="10">
        <v>0.26</v>
      </c>
      <c r="Z117" s="10">
        <v>0.18</v>
      </c>
      <c r="AA117" s="10">
        <v>0.03</v>
      </c>
      <c r="AB117" s="10">
        <v>0.18</v>
      </c>
      <c r="AC117" s="10"/>
      <c r="AD117" s="2"/>
      <c r="AE117" s="7"/>
    </row>
    <row r="118" spans="1:31" hidden="1" x14ac:dyDescent="0.35">
      <c r="A118" s="15">
        <f t="shared" si="4"/>
        <v>509</v>
      </c>
      <c r="B118" s="16">
        <v>5</v>
      </c>
      <c r="C118" s="13" t="s">
        <v>248</v>
      </c>
      <c r="D118" s="10">
        <v>7</v>
      </c>
      <c r="E118" s="10">
        <v>5</v>
      </c>
      <c r="F118" s="10">
        <v>437</v>
      </c>
      <c r="G118" s="10">
        <v>4.9000000000000004</v>
      </c>
      <c r="H118" s="10">
        <v>0</v>
      </c>
      <c r="I118" s="10">
        <v>2</v>
      </c>
      <c r="J118" s="10">
        <v>2</v>
      </c>
      <c r="K118" s="10">
        <v>0</v>
      </c>
      <c r="L118" s="10">
        <v>0</v>
      </c>
      <c r="M118" s="10">
        <v>0</v>
      </c>
      <c r="N118" s="10">
        <v>1</v>
      </c>
      <c r="O118" s="10">
        <v>0</v>
      </c>
      <c r="P118" s="10">
        <v>0.4</v>
      </c>
      <c r="Q118" s="10">
        <v>0.4</v>
      </c>
      <c r="R118" s="10">
        <v>1.7</v>
      </c>
      <c r="S118" s="10">
        <v>11</v>
      </c>
      <c r="T118" s="10">
        <v>21</v>
      </c>
      <c r="U118" s="10">
        <v>18</v>
      </c>
      <c r="V118" s="10">
        <v>0</v>
      </c>
      <c r="W118" s="10">
        <v>0.41</v>
      </c>
      <c r="X118" s="10">
        <v>0.41</v>
      </c>
      <c r="Y118" s="10">
        <v>0</v>
      </c>
      <c r="Z118" s="10">
        <v>7.0000000000000007E-2</v>
      </c>
      <c r="AA118" s="10">
        <v>0.36</v>
      </c>
      <c r="AB118" s="10">
        <v>7.0000000000000007E-2</v>
      </c>
      <c r="AC118" s="10"/>
      <c r="AD118" s="2"/>
      <c r="AE118" s="7"/>
    </row>
    <row r="119" spans="1:31" hidden="1" x14ac:dyDescent="0.35">
      <c r="A119" s="15">
        <f t="shared" si="4"/>
        <v>510</v>
      </c>
      <c r="B119" s="16">
        <v>5</v>
      </c>
      <c r="C119" s="13" t="s">
        <v>264</v>
      </c>
      <c r="D119" s="10">
        <v>3</v>
      </c>
      <c r="E119" s="10">
        <v>2</v>
      </c>
      <c r="F119" s="10">
        <v>107</v>
      </c>
      <c r="G119" s="10">
        <v>1.2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2</v>
      </c>
      <c r="T119" s="10">
        <v>2</v>
      </c>
      <c r="U119" s="10">
        <v>1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/>
      <c r="AD119" s="2"/>
      <c r="AE119" s="7"/>
    </row>
    <row r="120" spans="1:31" hidden="1" x14ac:dyDescent="0.35">
      <c r="A120" s="15">
        <f t="shared" si="4"/>
        <v>511</v>
      </c>
      <c r="B120" s="16">
        <v>5</v>
      </c>
      <c r="C120" s="13" t="s">
        <v>266</v>
      </c>
      <c r="D120" s="10">
        <v>6</v>
      </c>
      <c r="E120" s="10">
        <v>1</v>
      </c>
      <c r="F120" s="10">
        <v>161</v>
      </c>
      <c r="G120" s="10">
        <v>1.8</v>
      </c>
      <c r="H120" s="10">
        <v>1</v>
      </c>
      <c r="I120" s="10">
        <v>0</v>
      </c>
      <c r="J120" s="10">
        <v>1</v>
      </c>
      <c r="K120" s="10">
        <v>0</v>
      </c>
      <c r="L120" s="10">
        <v>1</v>
      </c>
      <c r="M120" s="10">
        <v>1</v>
      </c>
      <c r="N120" s="10">
        <v>1</v>
      </c>
      <c r="O120" s="10">
        <v>0</v>
      </c>
      <c r="P120" s="10">
        <v>0.8</v>
      </c>
      <c r="Q120" s="10">
        <v>0</v>
      </c>
      <c r="R120" s="10">
        <v>0</v>
      </c>
      <c r="S120" s="10">
        <v>2</v>
      </c>
      <c r="T120" s="10">
        <v>7</v>
      </c>
      <c r="U120" s="10">
        <v>4</v>
      </c>
      <c r="V120" s="10">
        <v>0.56000000000000005</v>
      </c>
      <c r="W120" s="10">
        <v>0</v>
      </c>
      <c r="X120" s="10">
        <v>0.56000000000000005</v>
      </c>
      <c r="Y120" s="10">
        <v>0</v>
      </c>
      <c r="Z120" s="10">
        <v>0.44</v>
      </c>
      <c r="AA120" s="10">
        <v>0.03</v>
      </c>
      <c r="AB120" s="10">
        <v>0</v>
      </c>
      <c r="AC120" s="10"/>
      <c r="AD120" s="2"/>
      <c r="AE120" s="7"/>
    </row>
    <row r="121" spans="1:31" hidden="1" x14ac:dyDescent="0.35">
      <c r="A121" s="15">
        <f t="shared" si="4"/>
        <v>512</v>
      </c>
      <c r="B121" s="16">
        <v>5</v>
      </c>
      <c r="C121" s="13" t="s">
        <v>235</v>
      </c>
      <c r="D121" s="10">
        <v>8</v>
      </c>
      <c r="E121" s="10">
        <v>8</v>
      </c>
      <c r="F121" s="10">
        <v>720</v>
      </c>
      <c r="G121" s="10">
        <v>8</v>
      </c>
      <c r="H121" s="10">
        <v>1</v>
      </c>
      <c r="I121" s="10">
        <v>0</v>
      </c>
      <c r="J121" s="10">
        <v>1</v>
      </c>
      <c r="K121" s="10">
        <v>1</v>
      </c>
      <c r="L121" s="10">
        <v>0</v>
      </c>
      <c r="M121" s="10">
        <v>0</v>
      </c>
      <c r="N121" s="10">
        <v>2</v>
      </c>
      <c r="O121" s="10">
        <v>0</v>
      </c>
      <c r="P121" s="10">
        <v>0.4</v>
      </c>
      <c r="Q121" s="10">
        <v>0.4</v>
      </c>
      <c r="R121" s="10">
        <v>0</v>
      </c>
      <c r="S121" s="10">
        <v>19</v>
      </c>
      <c r="T121" s="10">
        <v>61</v>
      </c>
      <c r="U121" s="10">
        <v>3</v>
      </c>
      <c r="V121" s="10">
        <v>0.12</v>
      </c>
      <c r="W121" s="10">
        <v>0</v>
      </c>
      <c r="X121" s="10">
        <v>0.12</v>
      </c>
      <c r="Y121" s="10">
        <v>0.12</v>
      </c>
      <c r="Z121" s="10">
        <v>0.06</v>
      </c>
      <c r="AA121" s="10">
        <v>0</v>
      </c>
      <c r="AB121" s="10">
        <v>0.06</v>
      </c>
      <c r="AC121" s="10"/>
      <c r="AD121" s="2"/>
      <c r="AE121" s="7"/>
    </row>
    <row r="122" spans="1:31" hidden="1" x14ac:dyDescent="0.35">
      <c r="A122" s="15">
        <f t="shared" si="4"/>
        <v>513</v>
      </c>
      <c r="B122" s="16">
        <v>5</v>
      </c>
      <c r="C122" s="13" t="s">
        <v>276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/>
      <c r="AD122" s="2"/>
      <c r="AE122" s="7"/>
    </row>
    <row r="123" spans="1:31" hidden="1" x14ac:dyDescent="0.35">
      <c r="A123" s="15">
        <f t="shared" si="4"/>
        <v>514</v>
      </c>
      <c r="B123" s="16">
        <v>5</v>
      </c>
      <c r="C123" s="13" t="s">
        <v>250</v>
      </c>
      <c r="D123" s="10">
        <v>7</v>
      </c>
      <c r="E123" s="10">
        <v>4</v>
      </c>
      <c r="F123" s="10">
        <v>467</v>
      </c>
      <c r="G123" s="10">
        <v>5.2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2</v>
      </c>
      <c r="O123" s="10">
        <v>0</v>
      </c>
      <c r="P123" s="10">
        <v>0.1</v>
      </c>
      <c r="Q123" s="10">
        <v>0.1</v>
      </c>
      <c r="R123" s="10">
        <v>0.4</v>
      </c>
      <c r="S123" s="10">
        <v>13</v>
      </c>
      <c r="T123" s="10">
        <v>26</v>
      </c>
      <c r="U123" s="10">
        <v>22</v>
      </c>
      <c r="V123" s="10">
        <v>0</v>
      </c>
      <c r="W123" s="10">
        <v>0</v>
      </c>
      <c r="X123" s="10">
        <v>0</v>
      </c>
      <c r="Y123" s="10">
        <v>0</v>
      </c>
      <c r="Z123" s="10">
        <v>0.02</v>
      </c>
      <c r="AA123" s="10">
        <v>7.0000000000000007E-2</v>
      </c>
      <c r="AB123" s="10">
        <v>0.02</v>
      </c>
      <c r="AC123" s="10"/>
      <c r="AD123" s="2"/>
      <c r="AE123" s="7"/>
    </row>
    <row r="124" spans="1:31" hidden="1" x14ac:dyDescent="0.35">
      <c r="A124" s="15">
        <f t="shared" si="4"/>
        <v>515</v>
      </c>
      <c r="B124" s="16">
        <v>5</v>
      </c>
      <c r="C124" s="13" t="s">
        <v>241</v>
      </c>
      <c r="D124" s="10">
        <v>8</v>
      </c>
      <c r="E124" s="10">
        <v>7</v>
      </c>
      <c r="F124" s="10">
        <v>423</v>
      </c>
      <c r="G124" s="10">
        <v>4.7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2</v>
      </c>
      <c r="O124" s="10">
        <v>0</v>
      </c>
      <c r="P124" s="10">
        <v>0.1</v>
      </c>
      <c r="Q124" s="10">
        <v>0.1</v>
      </c>
      <c r="R124" s="10">
        <v>0</v>
      </c>
      <c r="S124" s="10">
        <v>5</v>
      </c>
      <c r="T124" s="10">
        <v>8</v>
      </c>
      <c r="U124" s="10">
        <v>5</v>
      </c>
      <c r="V124" s="10">
        <v>0</v>
      </c>
      <c r="W124" s="10">
        <v>0</v>
      </c>
      <c r="X124" s="10">
        <v>0</v>
      </c>
      <c r="Y124" s="10">
        <v>0</v>
      </c>
      <c r="Z124" s="10">
        <v>0.02</v>
      </c>
      <c r="AA124" s="10">
        <v>0.01</v>
      </c>
      <c r="AB124" s="10">
        <v>0.02</v>
      </c>
      <c r="AC124" s="10"/>
      <c r="AD124" s="2"/>
      <c r="AE124" s="7"/>
    </row>
    <row r="125" spans="1:31" hidden="1" x14ac:dyDescent="0.35">
      <c r="A125" s="15">
        <f t="shared" si="4"/>
        <v>516</v>
      </c>
      <c r="B125" s="16">
        <v>5</v>
      </c>
      <c r="C125" s="13" t="s">
        <v>233</v>
      </c>
      <c r="D125" s="10">
        <v>8</v>
      </c>
      <c r="E125" s="10">
        <v>8</v>
      </c>
      <c r="F125" s="10">
        <v>720</v>
      </c>
      <c r="G125" s="10">
        <v>8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3</v>
      </c>
      <c r="O125" s="10">
        <v>0</v>
      </c>
      <c r="P125" s="10">
        <v>0.4</v>
      </c>
      <c r="Q125" s="10">
        <v>0.4</v>
      </c>
      <c r="R125" s="10">
        <v>0</v>
      </c>
      <c r="S125" s="10">
        <v>3</v>
      </c>
      <c r="T125" s="10">
        <v>24</v>
      </c>
      <c r="U125" s="10">
        <v>1</v>
      </c>
      <c r="V125" s="10">
        <v>0</v>
      </c>
      <c r="W125" s="10">
        <v>0</v>
      </c>
      <c r="X125" s="10">
        <v>0</v>
      </c>
      <c r="Y125" s="10">
        <v>0</v>
      </c>
      <c r="Z125" s="10">
        <v>0.05</v>
      </c>
      <c r="AA125" s="10">
        <v>0</v>
      </c>
      <c r="AB125" s="10">
        <v>0.05</v>
      </c>
      <c r="AC125" s="10"/>
      <c r="AD125" s="2"/>
      <c r="AE125" s="7"/>
    </row>
    <row r="126" spans="1:31" hidden="1" x14ac:dyDescent="0.35">
      <c r="A126" s="15">
        <f t="shared" si="4"/>
        <v>517</v>
      </c>
      <c r="B126" s="16">
        <v>5</v>
      </c>
      <c r="C126" s="13" t="s">
        <v>258</v>
      </c>
      <c r="D126" s="10">
        <v>4</v>
      </c>
      <c r="E126" s="10">
        <v>4</v>
      </c>
      <c r="F126" s="10">
        <v>324</v>
      </c>
      <c r="G126" s="10">
        <v>3.6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2</v>
      </c>
      <c r="O126" s="10">
        <v>0</v>
      </c>
      <c r="P126" s="10">
        <v>0</v>
      </c>
      <c r="Q126" s="10">
        <v>0</v>
      </c>
      <c r="R126" s="10">
        <v>0</v>
      </c>
      <c r="S126" s="10">
        <v>5</v>
      </c>
      <c r="T126" s="10">
        <v>14</v>
      </c>
      <c r="U126" s="10">
        <v>2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0.01</v>
      </c>
      <c r="AB126" s="10">
        <v>0</v>
      </c>
      <c r="AC126" s="10"/>
      <c r="AD126" s="2"/>
      <c r="AE126" s="7"/>
    </row>
    <row r="127" spans="1:31" hidden="1" x14ac:dyDescent="0.35">
      <c r="A127" s="15">
        <f t="shared" si="4"/>
        <v>518</v>
      </c>
      <c r="B127" s="16">
        <v>5</v>
      </c>
      <c r="C127" s="13" t="s">
        <v>262</v>
      </c>
      <c r="D127" s="10">
        <v>2</v>
      </c>
      <c r="E127" s="10">
        <v>2</v>
      </c>
      <c r="F127" s="10">
        <v>177</v>
      </c>
      <c r="G127" s="10">
        <v>2</v>
      </c>
      <c r="H127" s="10">
        <v>1</v>
      </c>
      <c r="I127" s="10">
        <v>0</v>
      </c>
      <c r="J127" s="10">
        <v>1</v>
      </c>
      <c r="K127" s="10">
        <v>0</v>
      </c>
      <c r="L127" s="10">
        <v>1</v>
      </c>
      <c r="M127" s="10">
        <v>1</v>
      </c>
      <c r="N127" s="10">
        <v>0</v>
      </c>
      <c r="O127" s="10">
        <v>0</v>
      </c>
      <c r="P127" s="10">
        <v>1.2</v>
      </c>
      <c r="Q127" s="10">
        <v>0.4</v>
      </c>
      <c r="R127" s="10">
        <v>0.2</v>
      </c>
      <c r="S127" s="10">
        <v>0</v>
      </c>
      <c r="T127" s="10">
        <v>5</v>
      </c>
      <c r="U127" s="10">
        <v>11</v>
      </c>
      <c r="V127" s="10">
        <v>0.51</v>
      </c>
      <c r="W127" s="10">
        <v>0</v>
      </c>
      <c r="X127" s="10">
        <v>0.51</v>
      </c>
      <c r="Y127" s="10">
        <v>0</v>
      </c>
      <c r="Z127" s="10">
        <v>0.61</v>
      </c>
      <c r="AA127" s="10">
        <v>0.1</v>
      </c>
      <c r="AB127" s="10">
        <v>0.21</v>
      </c>
      <c r="AC127" s="10"/>
      <c r="AD127" s="2"/>
      <c r="AE127" s="7"/>
    </row>
    <row r="128" spans="1:31" hidden="1" x14ac:dyDescent="0.35">
      <c r="A128" s="15">
        <f t="shared" si="4"/>
        <v>519</v>
      </c>
      <c r="B128" s="16">
        <v>5</v>
      </c>
      <c r="C128" s="13" t="s">
        <v>252</v>
      </c>
      <c r="D128" s="10">
        <v>6</v>
      </c>
      <c r="E128" s="10">
        <v>4</v>
      </c>
      <c r="F128" s="10">
        <v>375</v>
      </c>
      <c r="G128" s="10">
        <v>4.2</v>
      </c>
      <c r="H128" s="10">
        <v>0</v>
      </c>
      <c r="I128" s="10">
        <v>1</v>
      </c>
      <c r="J128" s="10">
        <v>1</v>
      </c>
      <c r="K128" s="10">
        <v>0</v>
      </c>
      <c r="L128" s="10">
        <v>0</v>
      </c>
      <c r="M128" s="10">
        <v>0</v>
      </c>
      <c r="N128" s="10">
        <v>3</v>
      </c>
      <c r="O128" s="10">
        <v>0</v>
      </c>
      <c r="P128" s="10">
        <v>0.2</v>
      </c>
      <c r="Q128" s="10">
        <v>0.2</v>
      </c>
      <c r="R128" s="10">
        <v>0.7</v>
      </c>
      <c r="S128" s="10">
        <v>7</v>
      </c>
      <c r="T128" s="10">
        <v>21</v>
      </c>
      <c r="U128" s="10">
        <v>18</v>
      </c>
      <c r="V128" s="10">
        <v>0</v>
      </c>
      <c r="W128" s="10">
        <v>0.24</v>
      </c>
      <c r="X128" s="10">
        <v>0.24</v>
      </c>
      <c r="Y128" s="10">
        <v>0</v>
      </c>
      <c r="Z128" s="10">
        <v>0.04</v>
      </c>
      <c r="AA128" s="10">
        <v>0.18</v>
      </c>
      <c r="AB128" s="10">
        <v>0.04</v>
      </c>
      <c r="AC128" s="10"/>
      <c r="AD128" s="2"/>
      <c r="AE128" s="7"/>
    </row>
    <row r="129" spans="1:31" hidden="1" x14ac:dyDescent="0.35">
      <c r="A129" s="15">
        <f t="shared" si="4"/>
        <v>520</v>
      </c>
      <c r="B129" s="16">
        <v>5</v>
      </c>
      <c r="C129" s="13" t="s">
        <v>272</v>
      </c>
      <c r="D129" s="10">
        <v>1</v>
      </c>
      <c r="E129" s="10">
        <v>0</v>
      </c>
      <c r="F129" s="10">
        <v>1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2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/>
      <c r="AD129" s="2"/>
      <c r="AE129" s="7"/>
    </row>
    <row r="130" spans="1:31" hidden="1" x14ac:dyDescent="0.35">
      <c r="A130" s="15">
        <f t="shared" si="4"/>
        <v>521</v>
      </c>
      <c r="B130" s="16">
        <v>5</v>
      </c>
      <c r="C130" s="13" t="s">
        <v>268</v>
      </c>
      <c r="D130" s="10">
        <v>4</v>
      </c>
      <c r="E130" s="10">
        <v>0</v>
      </c>
      <c r="F130" s="10">
        <v>71</v>
      </c>
      <c r="G130" s="10">
        <v>0.8</v>
      </c>
      <c r="H130" s="10">
        <v>0</v>
      </c>
      <c r="I130" s="10">
        <v>1</v>
      </c>
      <c r="J130" s="10">
        <v>1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0.4</v>
      </c>
      <c r="Q130" s="10">
        <v>0.4</v>
      </c>
      <c r="R130" s="10">
        <v>0.2</v>
      </c>
      <c r="S130" s="10">
        <v>1</v>
      </c>
      <c r="T130" s="10">
        <v>0</v>
      </c>
      <c r="U130" s="10">
        <v>3</v>
      </c>
      <c r="V130" s="10">
        <v>0</v>
      </c>
      <c r="W130" s="10">
        <v>1.27</v>
      </c>
      <c r="X130" s="10">
        <v>1.27</v>
      </c>
      <c r="Y130" s="10">
        <v>0</v>
      </c>
      <c r="Z130" s="10">
        <v>0.45</v>
      </c>
      <c r="AA130" s="10">
        <v>0.25</v>
      </c>
      <c r="AB130" s="10">
        <v>0.45</v>
      </c>
      <c r="AC130" s="10"/>
      <c r="AD130" s="5"/>
      <c r="AE130" s="7"/>
    </row>
    <row r="131" spans="1:31" hidden="1" x14ac:dyDescent="0.35">
      <c r="A131" s="15">
        <f t="shared" si="4"/>
        <v>522</v>
      </c>
      <c r="B131" s="16">
        <v>5</v>
      </c>
      <c r="C131" s="13" t="s">
        <v>278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/>
      <c r="AD131" s="5"/>
      <c r="AE131" s="7"/>
    </row>
    <row r="132" spans="1:31" hidden="1" x14ac:dyDescent="0.35">
      <c r="A132" s="15">
        <f t="shared" si="4"/>
        <v>523</v>
      </c>
      <c r="B132" s="16">
        <v>5</v>
      </c>
      <c r="C132" s="13" t="s">
        <v>239</v>
      </c>
      <c r="D132" s="10">
        <v>8</v>
      </c>
      <c r="E132" s="10">
        <v>8</v>
      </c>
      <c r="F132" s="10">
        <v>680</v>
      </c>
      <c r="G132" s="10">
        <v>7.6</v>
      </c>
      <c r="H132" s="10">
        <v>1</v>
      </c>
      <c r="I132" s="10">
        <v>2</v>
      </c>
      <c r="J132" s="10">
        <v>3</v>
      </c>
      <c r="K132" s="10">
        <v>1</v>
      </c>
      <c r="L132" s="10">
        <v>0</v>
      </c>
      <c r="M132" s="10">
        <v>0</v>
      </c>
      <c r="N132" s="10">
        <v>0</v>
      </c>
      <c r="O132" s="10">
        <v>0</v>
      </c>
      <c r="P132" s="10">
        <v>1.7</v>
      </c>
      <c r="Q132" s="10">
        <v>1.7</v>
      </c>
      <c r="R132" s="10">
        <v>2.1</v>
      </c>
      <c r="S132" s="10">
        <v>45</v>
      </c>
      <c r="T132" s="10">
        <v>10</v>
      </c>
      <c r="U132" s="10">
        <v>71</v>
      </c>
      <c r="V132" s="10">
        <v>0.13</v>
      </c>
      <c r="W132" s="10">
        <v>0.26</v>
      </c>
      <c r="X132" s="10">
        <v>0.4</v>
      </c>
      <c r="Y132" s="10">
        <v>0.13</v>
      </c>
      <c r="Z132" s="10">
        <v>0.23</v>
      </c>
      <c r="AA132" s="10">
        <v>0.27</v>
      </c>
      <c r="AB132" s="10">
        <v>0.23</v>
      </c>
      <c r="AC132" s="10"/>
      <c r="AD132" s="5"/>
      <c r="AE132" s="7"/>
    </row>
    <row r="133" spans="1:31" hidden="1" x14ac:dyDescent="0.35">
      <c r="A133" s="15">
        <f t="shared" si="4"/>
        <v>524</v>
      </c>
      <c r="B133" s="16">
        <v>5</v>
      </c>
      <c r="C133" s="13" t="s">
        <v>245</v>
      </c>
      <c r="D133" s="10">
        <v>6</v>
      </c>
      <c r="E133" s="10">
        <v>6</v>
      </c>
      <c r="F133" s="10">
        <v>508</v>
      </c>
      <c r="G133" s="10">
        <v>5.6</v>
      </c>
      <c r="H133" s="10">
        <v>1</v>
      </c>
      <c r="I133" s="10">
        <v>1</v>
      </c>
      <c r="J133" s="10">
        <v>2</v>
      </c>
      <c r="K133" s="10">
        <v>1</v>
      </c>
      <c r="L133" s="10">
        <v>0</v>
      </c>
      <c r="M133" s="10">
        <v>0</v>
      </c>
      <c r="N133" s="10">
        <v>1</v>
      </c>
      <c r="O133" s="10">
        <v>0</v>
      </c>
      <c r="P133" s="10">
        <v>0.8</v>
      </c>
      <c r="Q133" s="10">
        <v>0.8</v>
      </c>
      <c r="R133" s="10">
        <v>1.1000000000000001</v>
      </c>
      <c r="S133" s="10">
        <v>13</v>
      </c>
      <c r="T133" s="10">
        <v>13</v>
      </c>
      <c r="U133" s="10">
        <v>37</v>
      </c>
      <c r="V133" s="10">
        <v>0.18</v>
      </c>
      <c r="W133" s="10">
        <v>0.18</v>
      </c>
      <c r="X133" s="10">
        <v>0.35</v>
      </c>
      <c r="Y133" s="10">
        <v>0.18</v>
      </c>
      <c r="Z133" s="10">
        <v>0.13</v>
      </c>
      <c r="AA133" s="10">
        <v>0.19</v>
      </c>
      <c r="AB133" s="10">
        <v>0.13</v>
      </c>
      <c r="AC133" s="10"/>
      <c r="AD133" s="2"/>
      <c r="AE133" s="7"/>
    </row>
    <row r="134" spans="1:31" hidden="1" x14ac:dyDescent="0.35">
      <c r="A134" s="15">
        <v>601</v>
      </c>
      <c r="B134" s="16">
        <v>6</v>
      </c>
      <c r="C134" s="13" t="s">
        <v>327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/>
      <c r="AD134" s="2"/>
      <c r="AE134" s="7"/>
    </row>
    <row r="135" spans="1:31" hidden="1" x14ac:dyDescent="0.35">
      <c r="A135" s="15">
        <f>A134+1</f>
        <v>602</v>
      </c>
      <c r="B135" s="16">
        <v>6</v>
      </c>
      <c r="C135" s="13" t="s">
        <v>313</v>
      </c>
      <c r="D135" s="10">
        <v>3</v>
      </c>
      <c r="E135" s="10">
        <v>1</v>
      </c>
      <c r="F135" s="10">
        <v>104</v>
      </c>
      <c r="G135" s="10">
        <v>1.2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4</v>
      </c>
      <c r="U135" s="10">
        <v>3</v>
      </c>
      <c r="V135" s="10">
        <v>0</v>
      </c>
      <c r="W135" s="10">
        <v>0</v>
      </c>
      <c r="X135" s="10">
        <v>0</v>
      </c>
      <c r="Y135" s="10">
        <v>0</v>
      </c>
      <c r="Z135" s="10">
        <v>0.03</v>
      </c>
      <c r="AA135" s="10">
        <v>0.03</v>
      </c>
      <c r="AB135" s="10">
        <v>0.03</v>
      </c>
      <c r="AC135" s="10"/>
      <c r="AD135" s="2"/>
      <c r="AE135" s="7"/>
    </row>
    <row r="136" spans="1:31" hidden="1" x14ac:dyDescent="0.35">
      <c r="A136" s="15">
        <f t="shared" ref="A136:A158" si="5">A135+1</f>
        <v>603</v>
      </c>
      <c r="B136" s="16">
        <v>6</v>
      </c>
      <c r="C136" s="13" t="s">
        <v>323</v>
      </c>
      <c r="D136" s="10">
        <v>1</v>
      </c>
      <c r="E136" s="10">
        <v>0</v>
      </c>
      <c r="F136" s="10">
        <v>3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/>
      <c r="AD136" s="2"/>
      <c r="AE136" s="7"/>
    </row>
    <row r="137" spans="1:31" hidden="1" x14ac:dyDescent="0.35">
      <c r="A137" s="15">
        <f t="shared" si="5"/>
        <v>604</v>
      </c>
      <c r="B137" s="16">
        <v>6</v>
      </c>
      <c r="C137" s="13" t="s">
        <v>311</v>
      </c>
      <c r="D137" s="10">
        <v>5</v>
      </c>
      <c r="E137" s="10">
        <v>1</v>
      </c>
      <c r="F137" s="10">
        <v>112</v>
      </c>
      <c r="G137" s="10">
        <v>1.2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0.2</v>
      </c>
      <c r="Q137" s="10">
        <v>0.2</v>
      </c>
      <c r="R137" s="10">
        <v>0.1</v>
      </c>
      <c r="S137" s="10">
        <v>1</v>
      </c>
      <c r="T137" s="10">
        <v>0</v>
      </c>
      <c r="U137" s="10">
        <v>4</v>
      </c>
      <c r="V137" s="10">
        <v>0</v>
      </c>
      <c r="W137" s="10">
        <v>0</v>
      </c>
      <c r="X137" s="10">
        <v>0</v>
      </c>
      <c r="Y137" s="10">
        <v>0</v>
      </c>
      <c r="Z137" s="10">
        <v>0.15</v>
      </c>
      <c r="AA137" s="10">
        <v>0.06</v>
      </c>
      <c r="AB137" s="10">
        <v>0.15</v>
      </c>
      <c r="AC137" s="10"/>
      <c r="AD137" s="2"/>
      <c r="AE137" s="7"/>
    </row>
    <row r="138" spans="1:31" hidden="1" x14ac:dyDescent="0.35">
      <c r="A138" s="15">
        <f t="shared" si="5"/>
        <v>605</v>
      </c>
      <c r="B138" s="16">
        <v>6</v>
      </c>
      <c r="C138" s="13" t="s">
        <v>321</v>
      </c>
      <c r="D138" s="10">
        <v>1</v>
      </c>
      <c r="E138" s="10">
        <v>0</v>
      </c>
      <c r="F138" s="10">
        <v>6</v>
      </c>
      <c r="G138" s="10">
        <v>0.1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/>
      <c r="AD138" s="2"/>
      <c r="AE138" s="7"/>
    </row>
    <row r="139" spans="1:31" hidden="1" x14ac:dyDescent="0.35">
      <c r="A139" s="15">
        <f t="shared" si="5"/>
        <v>606</v>
      </c>
      <c r="B139" s="16">
        <v>6</v>
      </c>
      <c r="C139" s="13" t="s">
        <v>301</v>
      </c>
      <c r="D139" s="10">
        <v>7</v>
      </c>
      <c r="E139" s="10">
        <v>4</v>
      </c>
      <c r="F139" s="10">
        <v>370</v>
      </c>
      <c r="G139" s="10">
        <v>4.0999999999999996</v>
      </c>
      <c r="H139" s="10">
        <v>2</v>
      </c>
      <c r="I139" s="10">
        <v>0</v>
      </c>
      <c r="J139" s="10">
        <v>2</v>
      </c>
      <c r="K139" s="10">
        <v>2</v>
      </c>
      <c r="L139" s="10">
        <v>0</v>
      </c>
      <c r="M139" s="10">
        <v>0</v>
      </c>
      <c r="N139" s="10">
        <v>2</v>
      </c>
      <c r="O139" s="10">
        <v>1</v>
      </c>
      <c r="P139" s="10">
        <v>0.7</v>
      </c>
      <c r="Q139" s="10">
        <v>0.7</v>
      </c>
      <c r="R139" s="10">
        <v>0</v>
      </c>
      <c r="S139" s="10">
        <v>2</v>
      </c>
      <c r="T139" s="10">
        <v>9</v>
      </c>
      <c r="U139" s="10">
        <v>6</v>
      </c>
      <c r="V139" s="10">
        <v>0.49</v>
      </c>
      <c r="W139" s="10">
        <v>0</v>
      </c>
      <c r="X139" s="10">
        <v>0.49</v>
      </c>
      <c r="Y139" s="10">
        <v>0.49</v>
      </c>
      <c r="Z139" s="10">
        <v>0.17</v>
      </c>
      <c r="AA139" s="10">
        <v>0.01</v>
      </c>
      <c r="AB139" s="10">
        <v>0.17</v>
      </c>
      <c r="AC139" s="10"/>
      <c r="AD139" s="2"/>
      <c r="AE139" s="7"/>
    </row>
    <row r="140" spans="1:31" hidden="1" x14ac:dyDescent="0.35">
      <c r="A140" s="15">
        <f t="shared" si="5"/>
        <v>607</v>
      </c>
      <c r="B140" s="16">
        <v>6</v>
      </c>
      <c r="C140" s="13" t="s">
        <v>305</v>
      </c>
      <c r="D140" s="10">
        <v>6</v>
      </c>
      <c r="E140" s="10">
        <v>3</v>
      </c>
      <c r="F140" s="10">
        <v>295</v>
      </c>
      <c r="G140" s="10">
        <v>3.3</v>
      </c>
      <c r="H140" s="10">
        <v>0</v>
      </c>
      <c r="I140" s="10">
        <v>1</v>
      </c>
      <c r="J140" s="10">
        <v>1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0.1</v>
      </c>
      <c r="Q140" s="10">
        <v>0.1</v>
      </c>
      <c r="R140" s="10">
        <v>0.6</v>
      </c>
      <c r="S140" s="10">
        <v>3</v>
      </c>
      <c r="T140" s="10">
        <v>5</v>
      </c>
      <c r="U140" s="10">
        <v>21</v>
      </c>
      <c r="V140" s="10">
        <v>0</v>
      </c>
      <c r="W140" s="10">
        <v>0.31</v>
      </c>
      <c r="X140" s="10">
        <v>0.31</v>
      </c>
      <c r="Y140" s="10">
        <v>0</v>
      </c>
      <c r="Z140" s="10">
        <v>0.03</v>
      </c>
      <c r="AA140" s="10">
        <v>0.19</v>
      </c>
      <c r="AB140" s="10">
        <v>0.03</v>
      </c>
      <c r="AC140" s="10"/>
      <c r="AD140" s="2"/>
      <c r="AE140" s="7"/>
    </row>
    <row r="141" spans="1:31" hidden="1" x14ac:dyDescent="0.35">
      <c r="A141" s="15">
        <f t="shared" si="5"/>
        <v>608</v>
      </c>
      <c r="B141" s="16">
        <v>6</v>
      </c>
      <c r="C141" s="13" t="s">
        <v>295</v>
      </c>
      <c r="D141" s="10">
        <v>6</v>
      </c>
      <c r="E141" s="10">
        <v>6</v>
      </c>
      <c r="F141" s="10">
        <v>532</v>
      </c>
      <c r="G141" s="10">
        <v>5.9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0.2</v>
      </c>
      <c r="Q141" s="10">
        <v>0.2</v>
      </c>
      <c r="R141" s="10">
        <v>0.1</v>
      </c>
      <c r="S141" s="10">
        <v>1</v>
      </c>
      <c r="T141" s="10">
        <v>6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0.03</v>
      </c>
      <c r="AA141" s="10">
        <v>0.02</v>
      </c>
      <c r="AB141" s="10">
        <v>0.03</v>
      </c>
      <c r="AC141" s="10"/>
      <c r="AD141" s="2"/>
      <c r="AE141" s="7"/>
    </row>
    <row r="142" spans="1:31" hidden="1" x14ac:dyDescent="0.35">
      <c r="A142" s="15">
        <f t="shared" si="5"/>
        <v>609</v>
      </c>
      <c r="B142" s="16">
        <v>6</v>
      </c>
      <c r="C142" s="13" t="s">
        <v>307</v>
      </c>
      <c r="D142" s="10">
        <v>7</v>
      </c>
      <c r="E142" s="10">
        <v>3</v>
      </c>
      <c r="F142" s="10">
        <v>257</v>
      </c>
      <c r="G142" s="10">
        <v>2.9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1</v>
      </c>
      <c r="O142" s="10">
        <v>0</v>
      </c>
      <c r="P142" s="10">
        <v>0.2</v>
      </c>
      <c r="Q142" s="10">
        <v>0.2</v>
      </c>
      <c r="R142" s="10">
        <v>0.4</v>
      </c>
      <c r="S142" s="10">
        <v>6</v>
      </c>
      <c r="T142" s="10">
        <v>5</v>
      </c>
      <c r="U142" s="10">
        <v>8</v>
      </c>
      <c r="V142" s="10">
        <v>0</v>
      </c>
      <c r="W142" s="10">
        <v>0</v>
      </c>
      <c r="X142" s="10">
        <v>0</v>
      </c>
      <c r="Y142" s="10">
        <v>0</v>
      </c>
      <c r="Z142" s="10">
        <v>0.06</v>
      </c>
      <c r="AA142" s="10">
        <v>0.13</v>
      </c>
      <c r="AB142" s="10">
        <v>0.06</v>
      </c>
      <c r="AC142" s="10"/>
      <c r="AD142" s="2"/>
      <c r="AE142" s="7"/>
    </row>
    <row r="143" spans="1:31" hidden="1" x14ac:dyDescent="0.35">
      <c r="A143" s="15">
        <f t="shared" si="5"/>
        <v>610</v>
      </c>
      <c r="B143" s="16">
        <v>6</v>
      </c>
      <c r="C143" s="13" t="s">
        <v>291</v>
      </c>
      <c r="D143" s="10">
        <v>8</v>
      </c>
      <c r="E143" s="10">
        <v>8</v>
      </c>
      <c r="F143" s="10">
        <v>669</v>
      </c>
      <c r="G143" s="10">
        <v>7.4</v>
      </c>
      <c r="H143" s="10">
        <v>4</v>
      </c>
      <c r="I143" s="10">
        <v>1</v>
      </c>
      <c r="J143" s="10">
        <v>5</v>
      </c>
      <c r="K143" s="10">
        <v>4</v>
      </c>
      <c r="L143" s="10">
        <v>0</v>
      </c>
      <c r="M143" s="10">
        <v>0</v>
      </c>
      <c r="N143" s="10">
        <v>3</v>
      </c>
      <c r="O143" s="10">
        <v>0</v>
      </c>
      <c r="P143" s="10">
        <v>2.1</v>
      </c>
      <c r="Q143" s="10">
        <v>2.1</v>
      </c>
      <c r="R143" s="10">
        <v>0.3</v>
      </c>
      <c r="S143" s="10">
        <v>16</v>
      </c>
      <c r="T143" s="10">
        <v>11</v>
      </c>
      <c r="U143" s="10">
        <v>35</v>
      </c>
      <c r="V143" s="10">
        <v>0.54</v>
      </c>
      <c r="W143" s="10">
        <v>0.13</v>
      </c>
      <c r="X143" s="10">
        <v>0.67</v>
      </c>
      <c r="Y143" s="10">
        <v>0.54</v>
      </c>
      <c r="Z143" s="10">
        <v>0.28000000000000003</v>
      </c>
      <c r="AA143" s="10">
        <v>0.05</v>
      </c>
      <c r="AB143" s="10">
        <v>0.28000000000000003</v>
      </c>
      <c r="AC143" s="10"/>
      <c r="AD143" s="2"/>
      <c r="AE143" s="7"/>
    </row>
    <row r="144" spans="1:31" hidden="1" x14ac:dyDescent="0.35">
      <c r="A144" s="15">
        <f t="shared" si="5"/>
        <v>611</v>
      </c>
      <c r="B144" s="16">
        <v>6</v>
      </c>
      <c r="C144" s="13" t="s">
        <v>317</v>
      </c>
      <c r="D144" s="10">
        <v>4</v>
      </c>
      <c r="E144" s="10">
        <v>0</v>
      </c>
      <c r="F144" s="10">
        <v>22</v>
      </c>
      <c r="G144" s="10">
        <v>0.2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1</v>
      </c>
      <c r="U144" s="10">
        <v>1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/>
      <c r="AD144" s="2"/>
      <c r="AE144" s="7"/>
    </row>
    <row r="145" spans="1:31" hidden="1" x14ac:dyDescent="0.35">
      <c r="A145" s="15">
        <f t="shared" si="5"/>
        <v>612</v>
      </c>
      <c r="B145" s="16">
        <v>6</v>
      </c>
      <c r="C145" s="13" t="s">
        <v>289</v>
      </c>
      <c r="D145" s="10">
        <v>8</v>
      </c>
      <c r="E145" s="10">
        <v>8</v>
      </c>
      <c r="F145" s="10">
        <v>680</v>
      </c>
      <c r="G145" s="10">
        <v>7.6</v>
      </c>
      <c r="H145" s="10">
        <v>1</v>
      </c>
      <c r="I145" s="10">
        <v>1</v>
      </c>
      <c r="J145" s="10">
        <v>2</v>
      </c>
      <c r="K145" s="10">
        <v>1</v>
      </c>
      <c r="L145" s="10">
        <v>0</v>
      </c>
      <c r="M145" s="10">
        <v>0</v>
      </c>
      <c r="N145" s="10">
        <v>0</v>
      </c>
      <c r="O145" s="10">
        <v>0</v>
      </c>
      <c r="P145" s="10">
        <v>0.1</v>
      </c>
      <c r="Q145" s="10">
        <v>0.1</v>
      </c>
      <c r="R145" s="10">
        <v>0.8</v>
      </c>
      <c r="S145" s="10">
        <v>2</v>
      </c>
      <c r="T145" s="10">
        <v>39</v>
      </c>
      <c r="U145" s="10">
        <v>5</v>
      </c>
      <c r="V145" s="10">
        <v>0.13</v>
      </c>
      <c r="W145" s="10">
        <v>0.13</v>
      </c>
      <c r="X145" s="10">
        <v>0.26</v>
      </c>
      <c r="Y145" s="10">
        <v>0.13</v>
      </c>
      <c r="Z145" s="10">
        <v>0.02</v>
      </c>
      <c r="AA145" s="10">
        <v>0.11</v>
      </c>
      <c r="AB145" s="10">
        <v>0.02</v>
      </c>
      <c r="AC145" s="10"/>
      <c r="AD145" s="2"/>
      <c r="AE145" s="7"/>
    </row>
    <row r="146" spans="1:31" hidden="1" x14ac:dyDescent="0.35">
      <c r="A146" s="15">
        <f t="shared" si="5"/>
        <v>613</v>
      </c>
      <c r="B146" s="16">
        <v>6</v>
      </c>
      <c r="C146" s="13" t="s">
        <v>297</v>
      </c>
      <c r="D146" s="10">
        <v>8</v>
      </c>
      <c r="E146" s="10">
        <v>5</v>
      </c>
      <c r="F146" s="10">
        <v>464</v>
      </c>
      <c r="G146" s="10">
        <v>5.2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1</v>
      </c>
      <c r="O146" s="10">
        <v>0</v>
      </c>
      <c r="P146" s="10">
        <v>0.2</v>
      </c>
      <c r="Q146" s="10">
        <v>0.2</v>
      </c>
      <c r="R146" s="10">
        <v>0.2</v>
      </c>
      <c r="S146" s="10">
        <v>5</v>
      </c>
      <c r="T146" s="10">
        <v>8</v>
      </c>
      <c r="U146" s="10">
        <v>9</v>
      </c>
      <c r="V146" s="10">
        <v>0</v>
      </c>
      <c r="W146" s="10">
        <v>0</v>
      </c>
      <c r="X146" s="10">
        <v>0</v>
      </c>
      <c r="Y146" s="10">
        <v>0</v>
      </c>
      <c r="Z146" s="10">
        <v>0.03</v>
      </c>
      <c r="AA146" s="10">
        <v>0.03</v>
      </c>
      <c r="AB146" s="10">
        <v>0.03</v>
      </c>
      <c r="AC146" s="10"/>
      <c r="AD146" s="2"/>
      <c r="AE146" s="7"/>
    </row>
    <row r="147" spans="1:31" hidden="1" x14ac:dyDescent="0.35">
      <c r="A147" s="15">
        <f t="shared" si="5"/>
        <v>614</v>
      </c>
      <c r="B147" s="16">
        <v>6</v>
      </c>
      <c r="C147" s="13" t="s">
        <v>283</v>
      </c>
      <c r="D147" s="10">
        <v>8</v>
      </c>
      <c r="E147" s="10">
        <v>8</v>
      </c>
      <c r="F147" s="10">
        <v>720</v>
      </c>
      <c r="G147" s="10">
        <v>8</v>
      </c>
      <c r="H147" s="10">
        <v>0</v>
      </c>
      <c r="I147" s="10">
        <v>1</v>
      </c>
      <c r="J147" s="10">
        <v>1</v>
      </c>
      <c r="K147" s="10">
        <v>0</v>
      </c>
      <c r="L147" s="10">
        <v>0</v>
      </c>
      <c r="M147" s="10">
        <v>0</v>
      </c>
      <c r="N147" s="10">
        <v>2</v>
      </c>
      <c r="O147" s="10">
        <v>0</v>
      </c>
      <c r="P147" s="10">
        <v>0.1</v>
      </c>
      <c r="Q147" s="10">
        <v>0.1</v>
      </c>
      <c r="R147" s="10">
        <v>0.4</v>
      </c>
      <c r="S147" s="10">
        <v>10</v>
      </c>
      <c r="T147" s="10">
        <v>21</v>
      </c>
      <c r="U147" s="10">
        <v>12</v>
      </c>
      <c r="V147" s="10">
        <v>0</v>
      </c>
      <c r="W147" s="10">
        <v>0.12</v>
      </c>
      <c r="X147" s="10">
        <v>0.12</v>
      </c>
      <c r="Y147" s="10">
        <v>0</v>
      </c>
      <c r="Z147" s="10">
        <v>0.02</v>
      </c>
      <c r="AA147" s="10">
        <v>0.05</v>
      </c>
      <c r="AB147" s="10">
        <v>0.02</v>
      </c>
      <c r="AC147" s="10"/>
      <c r="AD147" s="2"/>
      <c r="AE147" s="7"/>
    </row>
    <row r="148" spans="1:31" hidden="1" x14ac:dyDescent="0.35">
      <c r="A148" s="15">
        <f t="shared" si="5"/>
        <v>615</v>
      </c>
      <c r="B148" s="16">
        <v>6</v>
      </c>
      <c r="C148" s="13" t="s">
        <v>303</v>
      </c>
      <c r="D148" s="10">
        <v>8</v>
      </c>
      <c r="E148" s="10">
        <v>4</v>
      </c>
      <c r="F148" s="10">
        <v>345</v>
      </c>
      <c r="G148" s="10">
        <v>3.8</v>
      </c>
      <c r="H148" s="10">
        <v>1</v>
      </c>
      <c r="I148" s="10">
        <v>0</v>
      </c>
      <c r="J148" s="10">
        <v>1</v>
      </c>
      <c r="K148" s="10">
        <v>1</v>
      </c>
      <c r="L148" s="10">
        <v>0</v>
      </c>
      <c r="M148" s="10">
        <v>0</v>
      </c>
      <c r="N148" s="10">
        <v>1</v>
      </c>
      <c r="O148" s="10">
        <v>0</v>
      </c>
      <c r="P148" s="10">
        <v>0.3</v>
      </c>
      <c r="Q148" s="10">
        <v>0.3</v>
      </c>
      <c r="R148" s="10">
        <v>0.1</v>
      </c>
      <c r="S148" s="10">
        <v>4</v>
      </c>
      <c r="T148" s="10">
        <v>7</v>
      </c>
      <c r="U148" s="10">
        <v>12</v>
      </c>
      <c r="V148" s="10">
        <v>0.26</v>
      </c>
      <c r="W148" s="10">
        <v>0</v>
      </c>
      <c r="X148" s="10">
        <v>0.26</v>
      </c>
      <c r="Y148" s="10">
        <v>0.26</v>
      </c>
      <c r="Z148" s="10">
        <v>0.09</v>
      </c>
      <c r="AA148" s="10">
        <v>0.03</v>
      </c>
      <c r="AB148" s="10">
        <v>0.09</v>
      </c>
      <c r="AC148" s="10"/>
      <c r="AD148" s="2"/>
      <c r="AE148" s="7"/>
    </row>
    <row r="149" spans="1:31" hidden="1" x14ac:dyDescent="0.35">
      <c r="A149" s="15">
        <f t="shared" si="5"/>
        <v>616</v>
      </c>
      <c r="B149" s="16">
        <v>6</v>
      </c>
      <c r="C149" s="13" t="s">
        <v>299</v>
      </c>
      <c r="D149" s="10">
        <v>5</v>
      </c>
      <c r="E149" s="10">
        <v>4</v>
      </c>
      <c r="F149" s="10">
        <v>388</v>
      </c>
      <c r="G149" s="10">
        <v>4.3</v>
      </c>
      <c r="H149" s="10">
        <v>0</v>
      </c>
      <c r="I149" s="10">
        <v>1</v>
      </c>
      <c r="J149" s="10">
        <v>1</v>
      </c>
      <c r="K149" s="10">
        <v>0</v>
      </c>
      <c r="L149" s="10">
        <v>0</v>
      </c>
      <c r="M149" s="10">
        <v>0</v>
      </c>
      <c r="N149" s="10">
        <v>1</v>
      </c>
      <c r="O149" s="10">
        <v>0</v>
      </c>
      <c r="P149" s="10">
        <v>0</v>
      </c>
      <c r="Q149" s="10">
        <v>0</v>
      </c>
      <c r="R149" s="10">
        <v>0.1</v>
      </c>
      <c r="S149" s="10">
        <v>1</v>
      </c>
      <c r="T149" s="10">
        <v>18</v>
      </c>
      <c r="U149" s="10">
        <v>2</v>
      </c>
      <c r="V149" s="10">
        <v>0</v>
      </c>
      <c r="W149" s="10">
        <v>0.23</v>
      </c>
      <c r="X149" s="10">
        <v>0.23</v>
      </c>
      <c r="Y149" s="10">
        <v>0</v>
      </c>
      <c r="Z149" s="10">
        <v>0</v>
      </c>
      <c r="AA149" s="10">
        <v>0.02</v>
      </c>
      <c r="AB149" s="10">
        <v>0</v>
      </c>
      <c r="AC149" s="10"/>
      <c r="AD149" s="2"/>
      <c r="AE149" s="7"/>
    </row>
    <row r="150" spans="1:31" hidden="1" x14ac:dyDescent="0.35">
      <c r="A150" s="15">
        <f t="shared" si="5"/>
        <v>617</v>
      </c>
      <c r="B150" s="16">
        <v>6</v>
      </c>
      <c r="C150" s="13" t="s">
        <v>325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/>
      <c r="AD150" s="2"/>
      <c r="AE150" s="7"/>
    </row>
    <row r="151" spans="1:31" hidden="1" x14ac:dyDescent="0.35">
      <c r="A151" s="15">
        <f t="shared" si="5"/>
        <v>618</v>
      </c>
      <c r="B151" s="16">
        <v>6</v>
      </c>
      <c r="C151" s="13" t="s">
        <v>293</v>
      </c>
      <c r="D151" s="10">
        <v>7</v>
      </c>
      <c r="E151" s="10">
        <v>7</v>
      </c>
      <c r="F151" s="10">
        <v>565</v>
      </c>
      <c r="G151" s="10">
        <v>6.3</v>
      </c>
      <c r="H151" s="10">
        <v>1</v>
      </c>
      <c r="I151" s="10">
        <v>1</v>
      </c>
      <c r="J151" s="10">
        <v>2</v>
      </c>
      <c r="K151" s="10">
        <v>1</v>
      </c>
      <c r="L151" s="10">
        <v>0</v>
      </c>
      <c r="M151" s="10">
        <v>0</v>
      </c>
      <c r="N151" s="10">
        <v>2</v>
      </c>
      <c r="O151" s="10">
        <v>0</v>
      </c>
      <c r="P151" s="10">
        <v>0.9</v>
      </c>
      <c r="Q151" s="10">
        <v>0.9</v>
      </c>
      <c r="R151" s="10">
        <v>0.6</v>
      </c>
      <c r="S151" s="10">
        <v>7</v>
      </c>
      <c r="T151" s="10">
        <v>6</v>
      </c>
      <c r="U151" s="10">
        <v>30</v>
      </c>
      <c r="V151" s="10">
        <v>0.16</v>
      </c>
      <c r="W151" s="10">
        <v>0.16</v>
      </c>
      <c r="X151" s="10">
        <v>0.32</v>
      </c>
      <c r="Y151" s="10">
        <v>0.16</v>
      </c>
      <c r="Z151" s="10">
        <v>0.15</v>
      </c>
      <c r="AA151" s="10">
        <v>0.1</v>
      </c>
      <c r="AB151" s="10">
        <v>0.15</v>
      </c>
      <c r="AC151" s="10"/>
      <c r="AD151" s="2"/>
      <c r="AE151" s="7"/>
    </row>
    <row r="152" spans="1:31" hidden="1" x14ac:dyDescent="0.35">
      <c r="A152" s="15">
        <f t="shared" si="5"/>
        <v>619</v>
      </c>
      <c r="B152" s="16">
        <v>6</v>
      </c>
      <c r="C152" s="13" t="s">
        <v>319</v>
      </c>
      <c r="D152" s="10">
        <v>1</v>
      </c>
      <c r="E152" s="10">
        <v>0</v>
      </c>
      <c r="F152" s="10">
        <v>8</v>
      </c>
      <c r="G152" s="10">
        <v>0.1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1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/>
      <c r="AD152" s="2"/>
      <c r="AE152" s="7"/>
    </row>
    <row r="153" spans="1:31" hidden="1" x14ac:dyDescent="0.35">
      <c r="A153" s="15">
        <f t="shared" si="5"/>
        <v>620</v>
      </c>
      <c r="B153" s="16">
        <v>6</v>
      </c>
      <c r="C153" s="13" t="s">
        <v>281</v>
      </c>
      <c r="D153" s="10">
        <v>8</v>
      </c>
      <c r="E153" s="10">
        <v>8</v>
      </c>
      <c r="F153" s="10">
        <v>720</v>
      </c>
      <c r="G153" s="10">
        <v>8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/>
      <c r="AD153" s="2"/>
      <c r="AE153" s="7"/>
    </row>
    <row r="154" spans="1:31" hidden="1" x14ac:dyDescent="0.35">
      <c r="A154" s="15">
        <f t="shared" si="5"/>
        <v>621</v>
      </c>
      <c r="B154" s="16">
        <v>6</v>
      </c>
      <c r="C154" s="13" t="s">
        <v>328</v>
      </c>
      <c r="D154" s="10">
        <v>0</v>
      </c>
      <c r="E154" s="10">
        <v>0</v>
      </c>
      <c r="F154" s="10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/>
      <c r="AD154" s="2"/>
      <c r="AE154" s="7"/>
    </row>
    <row r="155" spans="1:31" hidden="1" x14ac:dyDescent="0.35">
      <c r="A155" s="15">
        <f t="shared" si="5"/>
        <v>622</v>
      </c>
      <c r="B155" s="16">
        <v>6</v>
      </c>
      <c r="C155" s="13" t="s">
        <v>287</v>
      </c>
      <c r="D155" s="10">
        <v>8</v>
      </c>
      <c r="E155" s="10">
        <v>8</v>
      </c>
      <c r="F155" s="10">
        <v>711</v>
      </c>
      <c r="G155" s="10">
        <v>7.9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0.2</v>
      </c>
      <c r="Q155" s="10">
        <v>0.2</v>
      </c>
      <c r="R155" s="10">
        <v>0.1</v>
      </c>
      <c r="S155" s="10">
        <v>1</v>
      </c>
      <c r="T155" s="10">
        <v>16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0.03</v>
      </c>
      <c r="AA155" s="10">
        <v>0.01</v>
      </c>
      <c r="AB155" s="10">
        <v>0.03</v>
      </c>
      <c r="AC155" s="10"/>
      <c r="AD155" s="5"/>
      <c r="AE155" s="7"/>
    </row>
    <row r="156" spans="1:31" hidden="1" x14ac:dyDescent="0.35">
      <c r="A156" s="15">
        <f t="shared" si="5"/>
        <v>623</v>
      </c>
      <c r="B156" s="16">
        <v>6</v>
      </c>
      <c r="C156" s="13" t="s">
        <v>309</v>
      </c>
      <c r="D156" s="10">
        <v>2</v>
      </c>
      <c r="E156" s="10">
        <v>2</v>
      </c>
      <c r="F156" s="10">
        <v>180</v>
      </c>
      <c r="G156" s="10">
        <v>2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2</v>
      </c>
      <c r="U156" s="10">
        <v>1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/>
      <c r="AD156" s="5"/>
      <c r="AE156" s="7"/>
    </row>
    <row r="157" spans="1:31" hidden="1" x14ac:dyDescent="0.35">
      <c r="A157" s="15">
        <f t="shared" si="5"/>
        <v>624</v>
      </c>
      <c r="B157" s="16">
        <v>6</v>
      </c>
      <c r="C157" s="13" t="s">
        <v>285</v>
      </c>
      <c r="D157" s="10">
        <v>8</v>
      </c>
      <c r="E157" s="10">
        <v>8</v>
      </c>
      <c r="F157" s="10">
        <v>717</v>
      </c>
      <c r="G157" s="10">
        <v>8</v>
      </c>
      <c r="H157" s="10">
        <v>0</v>
      </c>
      <c r="I157" s="10">
        <v>2</v>
      </c>
      <c r="J157" s="10">
        <v>2</v>
      </c>
      <c r="K157" s="10">
        <v>0</v>
      </c>
      <c r="L157" s="10">
        <v>0</v>
      </c>
      <c r="M157" s="10">
        <v>0</v>
      </c>
      <c r="N157" s="10">
        <v>1</v>
      </c>
      <c r="O157" s="10">
        <v>0</v>
      </c>
      <c r="P157" s="10">
        <v>0.1</v>
      </c>
      <c r="Q157" s="10">
        <v>0.1</v>
      </c>
      <c r="R157" s="10">
        <v>0.6</v>
      </c>
      <c r="S157" s="10">
        <v>1</v>
      </c>
      <c r="T157" s="10">
        <v>16</v>
      </c>
      <c r="U157" s="10">
        <v>19</v>
      </c>
      <c r="V157" s="10">
        <v>0</v>
      </c>
      <c r="W157" s="10">
        <v>0.25</v>
      </c>
      <c r="X157" s="10">
        <v>0.25</v>
      </c>
      <c r="Y157" s="10">
        <v>0</v>
      </c>
      <c r="Z157" s="10">
        <v>0.02</v>
      </c>
      <c r="AA157" s="10">
        <v>0.08</v>
      </c>
      <c r="AB157" s="10">
        <v>0.02</v>
      </c>
      <c r="AC157" s="10"/>
      <c r="AD157" s="5"/>
      <c r="AE157" s="7"/>
    </row>
    <row r="158" spans="1:31" hidden="1" x14ac:dyDescent="0.35">
      <c r="A158" s="15">
        <f t="shared" si="5"/>
        <v>625</v>
      </c>
      <c r="B158" s="16">
        <v>6</v>
      </c>
      <c r="C158" s="13" t="s">
        <v>315</v>
      </c>
      <c r="D158" s="10">
        <v>3</v>
      </c>
      <c r="E158" s="10">
        <v>0</v>
      </c>
      <c r="F158" s="10">
        <v>45</v>
      </c>
      <c r="G158" s="10">
        <v>0.5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2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/>
      <c r="AD158" s="2"/>
      <c r="AE158" s="7"/>
    </row>
    <row r="159" spans="1:31" hidden="1" x14ac:dyDescent="0.35">
      <c r="A159" s="15">
        <v>701</v>
      </c>
      <c r="B159" s="16">
        <v>7</v>
      </c>
      <c r="C159" s="13" t="s">
        <v>366</v>
      </c>
      <c r="D159" s="10">
        <v>3</v>
      </c>
      <c r="E159" s="10">
        <v>2</v>
      </c>
      <c r="F159" s="10">
        <v>92</v>
      </c>
      <c r="G159" s="10">
        <v>1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0.2</v>
      </c>
      <c r="Q159" s="10">
        <v>0.2</v>
      </c>
      <c r="R159" s="10">
        <v>0</v>
      </c>
      <c r="S159" s="10">
        <v>2</v>
      </c>
      <c r="T159" s="10">
        <v>3</v>
      </c>
      <c r="U159" s="10">
        <v>4</v>
      </c>
      <c r="V159" s="10">
        <v>0</v>
      </c>
      <c r="W159" s="10">
        <v>0</v>
      </c>
      <c r="X159" s="10">
        <v>0</v>
      </c>
      <c r="Y159" s="10">
        <v>0</v>
      </c>
      <c r="Z159" s="10">
        <v>0.22</v>
      </c>
      <c r="AA159" s="10">
        <v>0</v>
      </c>
      <c r="AB159" s="10">
        <v>0.22</v>
      </c>
      <c r="AC159" s="10"/>
      <c r="AD159" s="2"/>
      <c r="AE159" s="7"/>
    </row>
    <row r="160" spans="1:31" hidden="1" x14ac:dyDescent="0.35">
      <c r="A160" s="15">
        <f>A159+1</f>
        <v>702</v>
      </c>
      <c r="B160" s="16">
        <v>7</v>
      </c>
      <c r="C160" s="13" t="s">
        <v>364</v>
      </c>
      <c r="D160" s="10">
        <v>3</v>
      </c>
      <c r="E160" s="10">
        <v>2</v>
      </c>
      <c r="F160" s="10">
        <v>130</v>
      </c>
      <c r="G160" s="10">
        <v>1.4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3</v>
      </c>
      <c r="T160" s="10">
        <v>4</v>
      </c>
      <c r="U160" s="10">
        <v>1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/>
      <c r="AD160" s="2"/>
      <c r="AE160" s="7"/>
    </row>
    <row r="161" spans="1:31" hidden="1" x14ac:dyDescent="0.35">
      <c r="A161" s="15">
        <f t="shared" ref="A161:A186" si="6">A160+1</f>
        <v>703</v>
      </c>
      <c r="B161" s="16">
        <v>7</v>
      </c>
      <c r="C161" s="13" t="s">
        <v>368</v>
      </c>
      <c r="D161" s="10">
        <v>3</v>
      </c>
      <c r="E161" s="10">
        <v>1</v>
      </c>
      <c r="F161" s="10">
        <v>93</v>
      </c>
      <c r="G161" s="10">
        <v>1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1</v>
      </c>
      <c r="T161" s="10">
        <v>8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/>
      <c r="AD161" s="2"/>
      <c r="AE161" s="7"/>
    </row>
    <row r="162" spans="1:31" hidden="1" x14ac:dyDescent="0.35">
      <c r="A162" s="15">
        <f t="shared" si="6"/>
        <v>704</v>
      </c>
      <c r="B162" s="16">
        <v>7</v>
      </c>
      <c r="C162" s="13" t="s">
        <v>358</v>
      </c>
      <c r="D162" s="10">
        <v>4</v>
      </c>
      <c r="E162" s="10">
        <v>2</v>
      </c>
      <c r="F162" s="10">
        <v>168</v>
      </c>
      <c r="G162" s="10">
        <v>1.9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2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4</v>
      </c>
      <c r="U162" s="10">
        <v>1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/>
      <c r="AD162" s="2"/>
      <c r="AE162" s="7"/>
    </row>
    <row r="163" spans="1:31" hidden="1" x14ac:dyDescent="0.35">
      <c r="A163" s="15">
        <f t="shared" si="6"/>
        <v>705</v>
      </c>
      <c r="B163" s="16">
        <v>7</v>
      </c>
      <c r="C163" s="13" t="s">
        <v>381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/>
      <c r="AD163" s="2"/>
      <c r="AE163" s="7"/>
    </row>
    <row r="164" spans="1:31" hidden="1" x14ac:dyDescent="0.35">
      <c r="A164" s="15">
        <f t="shared" si="6"/>
        <v>706</v>
      </c>
      <c r="B164" s="16">
        <v>7</v>
      </c>
      <c r="C164" s="13" t="s">
        <v>333</v>
      </c>
      <c r="D164" s="10">
        <v>8</v>
      </c>
      <c r="E164" s="10">
        <v>8</v>
      </c>
      <c r="F164" s="10">
        <v>634</v>
      </c>
      <c r="G164" s="10">
        <v>7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1</v>
      </c>
      <c r="O164" s="10">
        <v>1</v>
      </c>
      <c r="P164" s="10">
        <v>0</v>
      </c>
      <c r="Q164" s="10">
        <v>0</v>
      </c>
      <c r="R164" s="10">
        <v>0.1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0.01</v>
      </c>
      <c r="AB164" s="10">
        <v>0</v>
      </c>
      <c r="AC164" s="10"/>
      <c r="AD164" s="2"/>
      <c r="AE164" s="7"/>
    </row>
    <row r="165" spans="1:31" hidden="1" x14ac:dyDescent="0.35">
      <c r="A165" s="15">
        <f t="shared" si="6"/>
        <v>707</v>
      </c>
      <c r="B165" s="16">
        <v>7</v>
      </c>
      <c r="C165" s="13" t="s">
        <v>346</v>
      </c>
      <c r="D165" s="10">
        <v>7</v>
      </c>
      <c r="E165" s="10">
        <v>4</v>
      </c>
      <c r="F165" s="10">
        <v>401</v>
      </c>
      <c r="G165" s="10">
        <v>4.5</v>
      </c>
      <c r="H165" s="10">
        <v>0</v>
      </c>
      <c r="I165" s="10">
        <v>1</v>
      </c>
      <c r="J165" s="10">
        <v>1</v>
      </c>
      <c r="K165" s="10">
        <v>0</v>
      </c>
      <c r="L165" s="10">
        <v>0</v>
      </c>
      <c r="M165" s="10">
        <v>0</v>
      </c>
      <c r="N165" s="10">
        <v>2</v>
      </c>
      <c r="O165" s="10">
        <v>1</v>
      </c>
      <c r="P165" s="10">
        <v>0.1</v>
      </c>
      <c r="Q165" s="10">
        <v>0.1</v>
      </c>
      <c r="R165" s="10">
        <v>0.2</v>
      </c>
      <c r="S165" s="10">
        <v>9</v>
      </c>
      <c r="T165" s="10">
        <v>23</v>
      </c>
      <c r="U165" s="10">
        <v>25</v>
      </c>
      <c r="V165" s="10">
        <v>0</v>
      </c>
      <c r="W165" s="10">
        <v>0.22</v>
      </c>
      <c r="X165" s="10">
        <v>0.22</v>
      </c>
      <c r="Y165" s="10">
        <v>0</v>
      </c>
      <c r="Z165" s="10">
        <v>0.02</v>
      </c>
      <c r="AA165" s="10">
        <v>0.05</v>
      </c>
      <c r="AB165" s="10">
        <v>0.02</v>
      </c>
      <c r="AC165" s="10"/>
      <c r="AD165" s="2"/>
      <c r="AE165" s="7"/>
    </row>
    <row r="166" spans="1:31" hidden="1" x14ac:dyDescent="0.35">
      <c r="A166" s="15">
        <f t="shared" si="6"/>
        <v>708</v>
      </c>
      <c r="B166" s="16">
        <v>7</v>
      </c>
      <c r="C166" s="13" t="s">
        <v>369</v>
      </c>
      <c r="D166" s="10">
        <v>2</v>
      </c>
      <c r="E166" s="10">
        <v>1</v>
      </c>
      <c r="F166" s="10">
        <v>66</v>
      </c>
      <c r="G166" s="10">
        <v>0.7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1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4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/>
      <c r="AD166" s="2"/>
      <c r="AE166" s="7"/>
    </row>
    <row r="167" spans="1:31" hidden="1" x14ac:dyDescent="0.35">
      <c r="A167" s="15">
        <f t="shared" si="6"/>
        <v>709</v>
      </c>
      <c r="B167" s="16">
        <v>7</v>
      </c>
      <c r="C167" s="13" t="s">
        <v>373</v>
      </c>
      <c r="D167" s="10">
        <v>3</v>
      </c>
      <c r="E167" s="10">
        <v>0</v>
      </c>
      <c r="F167" s="10">
        <v>139</v>
      </c>
      <c r="G167" s="10">
        <v>1.5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2</v>
      </c>
      <c r="O167" s="10">
        <v>0</v>
      </c>
      <c r="P167" s="10">
        <v>0.2</v>
      </c>
      <c r="Q167" s="10">
        <v>0.2</v>
      </c>
      <c r="R167" s="10">
        <v>0</v>
      </c>
      <c r="S167" s="10">
        <v>1</v>
      </c>
      <c r="T167" s="10">
        <v>4</v>
      </c>
      <c r="U167" s="10">
        <v>9</v>
      </c>
      <c r="V167" s="10">
        <v>0</v>
      </c>
      <c r="W167" s="10">
        <v>0</v>
      </c>
      <c r="X167" s="10">
        <v>0</v>
      </c>
      <c r="Y167" s="10">
        <v>0</v>
      </c>
      <c r="Z167" s="10">
        <v>0.16</v>
      </c>
      <c r="AA167" s="10">
        <v>0</v>
      </c>
      <c r="AB167" s="10">
        <v>0.16</v>
      </c>
      <c r="AC167" s="10"/>
      <c r="AD167" s="2"/>
      <c r="AE167" s="7"/>
    </row>
    <row r="168" spans="1:31" hidden="1" x14ac:dyDescent="0.35">
      <c r="A168" s="15">
        <f t="shared" si="6"/>
        <v>710</v>
      </c>
      <c r="B168" s="16">
        <v>7</v>
      </c>
      <c r="C168" s="13" t="s">
        <v>383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/>
      <c r="AD168" s="2"/>
      <c r="AE168" s="7"/>
    </row>
    <row r="169" spans="1:31" hidden="1" x14ac:dyDescent="0.35">
      <c r="A169" s="15">
        <f t="shared" si="6"/>
        <v>711</v>
      </c>
      <c r="B169" s="16">
        <v>7</v>
      </c>
      <c r="C169" s="13" t="s">
        <v>356</v>
      </c>
      <c r="D169" s="10">
        <v>6</v>
      </c>
      <c r="E169" s="10">
        <v>2</v>
      </c>
      <c r="F169" s="10">
        <v>206</v>
      </c>
      <c r="G169" s="10">
        <v>2.2999999999999998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0.1</v>
      </c>
      <c r="Q169" s="10">
        <v>0.1</v>
      </c>
      <c r="R169" s="10">
        <v>0.1</v>
      </c>
      <c r="S169" s="10">
        <v>10</v>
      </c>
      <c r="T169" s="10">
        <v>4</v>
      </c>
      <c r="U169" s="10">
        <v>13</v>
      </c>
      <c r="V169" s="10">
        <v>0</v>
      </c>
      <c r="W169" s="10">
        <v>0</v>
      </c>
      <c r="X169" s="10">
        <v>0</v>
      </c>
      <c r="Y169" s="10">
        <v>0</v>
      </c>
      <c r="Z169" s="10">
        <v>0.06</v>
      </c>
      <c r="AA169" s="10">
        <v>0.06</v>
      </c>
      <c r="AB169" s="10">
        <v>0.06</v>
      </c>
      <c r="AC169" s="10"/>
      <c r="AD169" s="2"/>
      <c r="AE169" s="7"/>
    </row>
    <row r="170" spans="1:31" hidden="1" x14ac:dyDescent="0.35">
      <c r="A170" s="15">
        <f t="shared" si="6"/>
        <v>712</v>
      </c>
      <c r="B170" s="16">
        <v>7</v>
      </c>
      <c r="C170" s="13" t="s">
        <v>335</v>
      </c>
      <c r="D170" s="10">
        <v>8</v>
      </c>
      <c r="E170" s="10">
        <v>8</v>
      </c>
      <c r="F170" s="10">
        <v>585</v>
      </c>
      <c r="G170" s="10">
        <v>6.5</v>
      </c>
      <c r="H170" s="10">
        <v>2</v>
      </c>
      <c r="I170" s="10">
        <v>1</v>
      </c>
      <c r="J170" s="10">
        <v>3</v>
      </c>
      <c r="K170" s="10">
        <v>2</v>
      </c>
      <c r="L170" s="10">
        <v>0</v>
      </c>
      <c r="M170" s="10">
        <v>0</v>
      </c>
      <c r="N170" s="10">
        <v>0</v>
      </c>
      <c r="O170" s="10">
        <v>0</v>
      </c>
      <c r="P170" s="10">
        <v>0.8</v>
      </c>
      <c r="Q170" s="10">
        <v>0.8</v>
      </c>
      <c r="R170" s="10">
        <v>1.6</v>
      </c>
      <c r="S170" s="10">
        <v>32</v>
      </c>
      <c r="T170" s="10">
        <v>22</v>
      </c>
      <c r="U170" s="10">
        <v>61</v>
      </c>
      <c r="V170" s="10">
        <v>0.31</v>
      </c>
      <c r="W170" s="10">
        <v>0.15</v>
      </c>
      <c r="X170" s="10">
        <v>0.46</v>
      </c>
      <c r="Y170" s="10">
        <v>0.31</v>
      </c>
      <c r="Z170" s="10">
        <v>0.12</v>
      </c>
      <c r="AA170" s="10">
        <v>0.24</v>
      </c>
      <c r="AB170" s="10">
        <v>0.12</v>
      </c>
      <c r="AC170" s="10"/>
      <c r="AD170" s="2"/>
      <c r="AE170" s="7"/>
    </row>
    <row r="171" spans="1:31" hidden="1" x14ac:dyDescent="0.35">
      <c r="A171" s="15">
        <f t="shared" si="6"/>
        <v>713</v>
      </c>
      <c r="B171" s="16">
        <v>7</v>
      </c>
      <c r="C171" s="13" t="s">
        <v>354</v>
      </c>
      <c r="D171" s="10">
        <v>6</v>
      </c>
      <c r="E171" s="10">
        <v>2</v>
      </c>
      <c r="F171" s="10">
        <v>219</v>
      </c>
      <c r="G171" s="10">
        <v>2.4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1</v>
      </c>
      <c r="O171" s="10">
        <v>0</v>
      </c>
      <c r="P171" s="10">
        <v>0.7</v>
      </c>
      <c r="Q171" s="10">
        <v>0.7</v>
      </c>
      <c r="R171" s="10">
        <v>0.1</v>
      </c>
      <c r="S171" s="10">
        <v>4</v>
      </c>
      <c r="T171" s="10">
        <v>12</v>
      </c>
      <c r="U171" s="10">
        <v>9</v>
      </c>
      <c r="V171" s="10">
        <v>0</v>
      </c>
      <c r="W171" s="10">
        <v>0</v>
      </c>
      <c r="X171" s="10">
        <v>0</v>
      </c>
      <c r="Y171" s="10">
        <v>0</v>
      </c>
      <c r="Z171" s="10">
        <v>0.28000000000000003</v>
      </c>
      <c r="AA171" s="10">
        <v>0.03</v>
      </c>
      <c r="AB171" s="10">
        <v>0.28000000000000003</v>
      </c>
      <c r="AC171" s="10"/>
      <c r="AD171" s="2"/>
      <c r="AE171" s="7"/>
    </row>
    <row r="172" spans="1:31" hidden="1" x14ac:dyDescent="0.35">
      <c r="A172" s="15">
        <f t="shared" si="6"/>
        <v>714</v>
      </c>
      <c r="B172" s="16">
        <v>7</v>
      </c>
      <c r="C172" s="13" t="s">
        <v>352</v>
      </c>
      <c r="D172" s="10">
        <v>4</v>
      </c>
      <c r="E172" s="10">
        <v>3</v>
      </c>
      <c r="F172" s="10">
        <v>274</v>
      </c>
      <c r="G172" s="10">
        <v>3</v>
      </c>
      <c r="H172" s="10">
        <v>1</v>
      </c>
      <c r="I172" s="10">
        <v>0</v>
      </c>
      <c r="J172" s="10">
        <v>1</v>
      </c>
      <c r="K172" s="10">
        <v>1</v>
      </c>
      <c r="L172" s="10">
        <v>0</v>
      </c>
      <c r="M172" s="10">
        <v>0</v>
      </c>
      <c r="N172" s="10">
        <v>0</v>
      </c>
      <c r="O172" s="10">
        <v>0</v>
      </c>
      <c r="P172" s="10">
        <v>0.6</v>
      </c>
      <c r="Q172" s="10">
        <v>0.6</v>
      </c>
      <c r="R172" s="10">
        <v>0</v>
      </c>
      <c r="S172" s="10">
        <v>2</v>
      </c>
      <c r="T172" s="10">
        <v>4</v>
      </c>
      <c r="U172" s="10">
        <v>0</v>
      </c>
      <c r="V172" s="10">
        <v>0.33</v>
      </c>
      <c r="W172" s="10">
        <v>0</v>
      </c>
      <c r="X172" s="10">
        <v>0.33</v>
      </c>
      <c r="Y172" s="10">
        <v>0.33</v>
      </c>
      <c r="Z172" s="10">
        <v>0.2</v>
      </c>
      <c r="AA172" s="10">
        <v>0</v>
      </c>
      <c r="AB172" s="10">
        <v>0.2</v>
      </c>
      <c r="AC172" s="10"/>
      <c r="AD172" s="2"/>
      <c r="AE172" s="7"/>
    </row>
    <row r="173" spans="1:31" hidden="1" x14ac:dyDescent="0.35">
      <c r="A173" s="15">
        <f t="shared" si="6"/>
        <v>715</v>
      </c>
      <c r="B173" s="16">
        <v>7</v>
      </c>
      <c r="C173" s="13" t="s">
        <v>379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/>
      <c r="AD173" s="2"/>
      <c r="AE173" s="7"/>
    </row>
    <row r="174" spans="1:31" hidden="1" x14ac:dyDescent="0.35">
      <c r="A174" s="15">
        <f t="shared" si="6"/>
        <v>716</v>
      </c>
      <c r="B174" s="16">
        <v>7</v>
      </c>
      <c r="C174" s="13" t="s">
        <v>362</v>
      </c>
      <c r="D174" s="10">
        <v>3</v>
      </c>
      <c r="E174" s="10">
        <v>2</v>
      </c>
      <c r="F174" s="10">
        <v>131</v>
      </c>
      <c r="G174" s="10">
        <v>1.5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0.1</v>
      </c>
      <c r="Q174" s="10">
        <v>0.1</v>
      </c>
      <c r="R174" s="10">
        <v>0.1</v>
      </c>
      <c r="S174" s="10">
        <v>9</v>
      </c>
      <c r="T174" s="10">
        <v>2</v>
      </c>
      <c r="U174" s="10">
        <v>19</v>
      </c>
      <c r="V174" s="10">
        <v>0</v>
      </c>
      <c r="W174" s="10">
        <v>0</v>
      </c>
      <c r="X174" s="10">
        <v>0</v>
      </c>
      <c r="Y174" s="10">
        <v>0</v>
      </c>
      <c r="Z174" s="10">
        <v>0.04</v>
      </c>
      <c r="AA174" s="10">
        <v>0.06</v>
      </c>
      <c r="AB174" s="10">
        <v>0.04</v>
      </c>
      <c r="AC174" s="10"/>
      <c r="AD174" s="2"/>
      <c r="AE174" s="7"/>
    </row>
    <row r="175" spans="1:31" hidden="1" x14ac:dyDescent="0.35">
      <c r="A175" s="15">
        <f t="shared" si="6"/>
        <v>717</v>
      </c>
      <c r="B175" s="16">
        <v>7</v>
      </c>
      <c r="C175" s="13" t="s">
        <v>350</v>
      </c>
      <c r="D175" s="10">
        <v>5</v>
      </c>
      <c r="E175" s="10">
        <v>3</v>
      </c>
      <c r="F175" s="10">
        <v>364</v>
      </c>
      <c r="G175" s="10">
        <v>4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1</v>
      </c>
      <c r="O175" s="10">
        <v>0</v>
      </c>
      <c r="P175" s="10">
        <v>0</v>
      </c>
      <c r="Q175" s="10">
        <v>0</v>
      </c>
      <c r="R175" s="10">
        <v>0</v>
      </c>
      <c r="S175" s="10">
        <v>2</v>
      </c>
      <c r="T175" s="10">
        <v>15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0.01</v>
      </c>
      <c r="AA175" s="10">
        <v>0</v>
      </c>
      <c r="AB175" s="10">
        <v>0.01</v>
      </c>
      <c r="AC175" s="10"/>
      <c r="AD175" s="2"/>
      <c r="AE175" s="7"/>
    </row>
    <row r="176" spans="1:31" hidden="1" x14ac:dyDescent="0.35">
      <c r="A176" s="15">
        <f t="shared" si="6"/>
        <v>718</v>
      </c>
      <c r="B176" s="16">
        <v>7</v>
      </c>
      <c r="C176" s="13" t="s">
        <v>340</v>
      </c>
      <c r="D176" s="10">
        <v>7</v>
      </c>
      <c r="E176" s="10">
        <v>7</v>
      </c>
      <c r="F176" s="10">
        <v>618</v>
      </c>
      <c r="G176" s="10">
        <v>6.9</v>
      </c>
      <c r="H176" s="10">
        <v>3</v>
      </c>
      <c r="I176" s="10">
        <v>1</v>
      </c>
      <c r="J176" s="10">
        <v>4</v>
      </c>
      <c r="K176" s="10">
        <v>2</v>
      </c>
      <c r="L176" s="10">
        <v>1</v>
      </c>
      <c r="M176" s="10">
        <v>1</v>
      </c>
      <c r="N176" s="10">
        <v>1</v>
      </c>
      <c r="O176" s="10">
        <v>0</v>
      </c>
      <c r="P176" s="10">
        <v>3.7</v>
      </c>
      <c r="Q176" s="10">
        <v>3</v>
      </c>
      <c r="R176" s="10">
        <v>0.8</v>
      </c>
      <c r="S176" s="10">
        <v>9</v>
      </c>
      <c r="T176" s="10">
        <v>44</v>
      </c>
      <c r="U176" s="10">
        <v>27</v>
      </c>
      <c r="V176" s="10">
        <v>0.44</v>
      </c>
      <c r="W176" s="10">
        <v>0.15</v>
      </c>
      <c r="X176" s="10">
        <v>0.57999999999999996</v>
      </c>
      <c r="Y176" s="10">
        <v>0.28999999999999998</v>
      </c>
      <c r="Z176" s="10">
        <v>0.55000000000000004</v>
      </c>
      <c r="AA176" s="10">
        <v>0.12</v>
      </c>
      <c r="AB176" s="10">
        <v>0.43</v>
      </c>
      <c r="AC176" s="10"/>
      <c r="AD176" s="2"/>
      <c r="AE176" s="7"/>
    </row>
    <row r="177" spans="1:31" hidden="1" x14ac:dyDescent="0.35">
      <c r="A177" s="15">
        <f t="shared" si="6"/>
        <v>719</v>
      </c>
      <c r="B177" s="16">
        <v>7</v>
      </c>
      <c r="C177" s="13" t="s">
        <v>377</v>
      </c>
      <c r="D177" s="10">
        <v>2</v>
      </c>
      <c r="E177" s="10">
        <v>0</v>
      </c>
      <c r="F177" s="10">
        <v>61</v>
      </c>
      <c r="G177" s="10">
        <v>0.7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0.4</v>
      </c>
      <c r="Q177" s="10">
        <v>0.4</v>
      </c>
      <c r="R177" s="10">
        <v>0</v>
      </c>
      <c r="S177" s="10">
        <v>1</v>
      </c>
      <c r="T177" s="10">
        <v>1</v>
      </c>
      <c r="U177" s="10">
        <v>3</v>
      </c>
      <c r="V177" s="10">
        <v>0</v>
      </c>
      <c r="W177" s="10">
        <v>0</v>
      </c>
      <c r="X177" s="10">
        <v>0</v>
      </c>
      <c r="Y177" s="10">
        <v>0</v>
      </c>
      <c r="Z177" s="10">
        <v>0.54</v>
      </c>
      <c r="AA177" s="10">
        <v>0</v>
      </c>
      <c r="AB177" s="10">
        <v>0.54</v>
      </c>
      <c r="AC177" s="10"/>
      <c r="AD177" s="2"/>
      <c r="AE177" s="7"/>
    </row>
    <row r="178" spans="1:31" hidden="1" x14ac:dyDescent="0.35">
      <c r="A178" s="15">
        <f t="shared" si="6"/>
        <v>720</v>
      </c>
      <c r="B178" s="16">
        <v>7</v>
      </c>
      <c r="C178" s="13" t="s">
        <v>331</v>
      </c>
      <c r="D178" s="10">
        <v>8</v>
      </c>
      <c r="E178" s="10">
        <v>8</v>
      </c>
      <c r="F178" s="10">
        <v>674</v>
      </c>
      <c r="G178" s="10">
        <v>7.5</v>
      </c>
      <c r="H178" s="10">
        <v>2</v>
      </c>
      <c r="I178" s="10">
        <v>3</v>
      </c>
      <c r="J178" s="10">
        <v>5</v>
      </c>
      <c r="K178" s="10">
        <v>2</v>
      </c>
      <c r="L178" s="10">
        <v>0</v>
      </c>
      <c r="M178" s="10">
        <v>0</v>
      </c>
      <c r="N178" s="10">
        <v>0</v>
      </c>
      <c r="O178" s="10">
        <v>0</v>
      </c>
      <c r="P178" s="10">
        <v>1.6</v>
      </c>
      <c r="Q178" s="10">
        <v>1.6</v>
      </c>
      <c r="R178" s="10">
        <v>1.7</v>
      </c>
      <c r="S178" s="10">
        <v>18</v>
      </c>
      <c r="T178" s="10">
        <v>22</v>
      </c>
      <c r="U178" s="10">
        <v>48</v>
      </c>
      <c r="V178" s="10">
        <v>0.27</v>
      </c>
      <c r="W178" s="10">
        <v>0.4</v>
      </c>
      <c r="X178" s="10">
        <v>0.67</v>
      </c>
      <c r="Y178" s="10">
        <v>0.27</v>
      </c>
      <c r="Z178" s="10">
        <v>0.21</v>
      </c>
      <c r="AA178" s="10">
        <v>0.23</v>
      </c>
      <c r="AB178" s="10">
        <v>0.21</v>
      </c>
      <c r="AC178" s="10"/>
      <c r="AD178" s="2"/>
      <c r="AE178" s="7"/>
    </row>
    <row r="179" spans="1:31" hidden="1" x14ac:dyDescent="0.35">
      <c r="A179" s="15">
        <f t="shared" si="6"/>
        <v>721</v>
      </c>
      <c r="B179" s="16">
        <v>7</v>
      </c>
      <c r="C179" s="13" t="s">
        <v>338</v>
      </c>
      <c r="D179" s="10">
        <v>8</v>
      </c>
      <c r="E179" s="10">
        <v>7</v>
      </c>
      <c r="F179" s="10">
        <v>626</v>
      </c>
      <c r="G179" s="10">
        <v>7</v>
      </c>
      <c r="H179" s="10">
        <v>0</v>
      </c>
      <c r="I179" s="10">
        <v>2</v>
      </c>
      <c r="J179" s="10">
        <v>2</v>
      </c>
      <c r="K179" s="10">
        <v>0</v>
      </c>
      <c r="L179" s="10">
        <v>0</v>
      </c>
      <c r="M179" s="10">
        <v>0</v>
      </c>
      <c r="N179" s="10">
        <v>2</v>
      </c>
      <c r="O179" s="10">
        <v>0</v>
      </c>
      <c r="P179" s="10">
        <v>0.2</v>
      </c>
      <c r="Q179" s="10">
        <v>0.2</v>
      </c>
      <c r="R179" s="10">
        <v>1.3</v>
      </c>
      <c r="S179" s="10">
        <v>14</v>
      </c>
      <c r="T179" s="10">
        <v>28</v>
      </c>
      <c r="U179" s="10">
        <v>24</v>
      </c>
      <c r="V179" s="10">
        <v>0</v>
      </c>
      <c r="W179" s="10">
        <v>0.28999999999999998</v>
      </c>
      <c r="X179" s="10">
        <v>0.28999999999999998</v>
      </c>
      <c r="Y179" s="10">
        <v>0</v>
      </c>
      <c r="Z179" s="10">
        <v>0.03</v>
      </c>
      <c r="AA179" s="10">
        <v>0.19</v>
      </c>
      <c r="AB179" s="10">
        <v>0.03</v>
      </c>
      <c r="AC179" s="10"/>
      <c r="AD179" s="2"/>
      <c r="AE179" s="7"/>
    </row>
    <row r="180" spans="1:31" hidden="1" x14ac:dyDescent="0.35">
      <c r="A180" s="15">
        <f t="shared" si="6"/>
        <v>722</v>
      </c>
      <c r="B180" s="16">
        <v>7</v>
      </c>
      <c r="C180" s="13" t="s">
        <v>344</v>
      </c>
      <c r="D180" s="10">
        <v>8</v>
      </c>
      <c r="E180" s="10">
        <v>5</v>
      </c>
      <c r="F180" s="10">
        <v>515</v>
      </c>
      <c r="G180" s="10">
        <v>5.7</v>
      </c>
      <c r="H180" s="10">
        <v>1</v>
      </c>
      <c r="I180" s="10">
        <v>2</v>
      </c>
      <c r="J180" s="10">
        <v>3</v>
      </c>
      <c r="K180" s="10">
        <v>1</v>
      </c>
      <c r="L180" s="10">
        <v>0</v>
      </c>
      <c r="M180" s="10">
        <v>0</v>
      </c>
      <c r="N180" s="10">
        <v>2</v>
      </c>
      <c r="O180" s="10">
        <v>0</v>
      </c>
      <c r="P180" s="10">
        <v>0.3</v>
      </c>
      <c r="Q180" s="10">
        <v>0.3</v>
      </c>
      <c r="R180" s="10">
        <v>1.3</v>
      </c>
      <c r="S180" s="10">
        <v>8</v>
      </c>
      <c r="T180" s="10">
        <v>30</v>
      </c>
      <c r="U180" s="10">
        <v>16</v>
      </c>
      <c r="V180" s="10">
        <v>0.17</v>
      </c>
      <c r="W180" s="10">
        <v>0.35</v>
      </c>
      <c r="X180" s="10">
        <v>0.52</v>
      </c>
      <c r="Y180" s="10">
        <v>0.17</v>
      </c>
      <c r="Z180" s="10">
        <v>0.06</v>
      </c>
      <c r="AA180" s="10">
        <v>0.23</v>
      </c>
      <c r="AB180" s="10">
        <v>0.06</v>
      </c>
      <c r="AC180" s="10"/>
      <c r="AD180" s="2"/>
      <c r="AE180" s="7"/>
    </row>
    <row r="181" spans="1:31" hidden="1" x14ac:dyDescent="0.35">
      <c r="A181" s="15">
        <f t="shared" si="6"/>
        <v>723</v>
      </c>
      <c r="B181" s="16">
        <v>7</v>
      </c>
      <c r="C181" s="13" t="s">
        <v>337</v>
      </c>
      <c r="D181" s="10">
        <v>8</v>
      </c>
      <c r="E181" s="10">
        <v>7</v>
      </c>
      <c r="F181" s="10">
        <v>675</v>
      </c>
      <c r="G181" s="10">
        <v>7.5</v>
      </c>
      <c r="H181" s="10">
        <v>3</v>
      </c>
      <c r="I181" s="10">
        <v>0</v>
      </c>
      <c r="J181" s="10">
        <v>3</v>
      </c>
      <c r="K181" s="10">
        <v>3</v>
      </c>
      <c r="L181" s="10">
        <v>0</v>
      </c>
      <c r="M181" s="10">
        <v>0</v>
      </c>
      <c r="N181" s="10">
        <v>1</v>
      </c>
      <c r="O181" s="10">
        <v>0</v>
      </c>
      <c r="P181" s="10">
        <v>0.5</v>
      </c>
      <c r="Q181" s="10">
        <v>0.5</v>
      </c>
      <c r="R181" s="10">
        <v>0.1</v>
      </c>
      <c r="S181" s="10">
        <v>5</v>
      </c>
      <c r="T181" s="10">
        <v>37</v>
      </c>
      <c r="U181" s="10">
        <v>4</v>
      </c>
      <c r="V181" s="10">
        <v>0.4</v>
      </c>
      <c r="W181" s="10">
        <v>0</v>
      </c>
      <c r="X181" s="10">
        <v>0.4</v>
      </c>
      <c r="Y181" s="10">
        <v>0.4</v>
      </c>
      <c r="Z181" s="10">
        <v>7.0000000000000007E-2</v>
      </c>
      <c r="AA181" s="10">
        <v>0.01</v>
      </c>
      <c r="AB181" s="10">
        <v>7.0000000000000007E-2</v>
      </c>
      <c r="AC181" s="10"/>
      <c r="AD181" s="2"/>
      <c r="AE181" s="7"/>
    </row>
    <row r="182" spans="1:31" hidden="1" x14ac:dyDescent="0.35">
      <c r="A182" s="15">
        <f t="shared" si="6"/>
        <v>724</v>
      </c>
      <c r="B182" s="16">
        <v>7</v>
      </c>
      <c r="C182" s="13" t="s">
        <v>375</v>
      </c>
      <c r="D182" s="10">
        <v>1</v>
      </c>
      <c r="E182" s="10">
        <v>0</v>
      </c>
      <c r="F182" s="10">
        <v>84</v>
      </c>
      <c r="G182" s="10">
        <v>0.9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/>
      <c r="AD182" s="2"/>
      <c r="AE182" s="7"/>
    </row>
    <row r="183" spans="1:31" hidden="1" x14ac:dyDescent="0.35">
      <c r="A183" s="15">
        <f t="shared" si="6"/>
        <v>725</v>
      </c>
      <c r="B183" s="16">
        <v>7</v>
      </c>
      <c r="C183" s="13" t="s">
        <v>348</v>
      </c>
      <c r="D183" s="10">
        <v>7</v>
      </c>
      <c r="E183" s="10">
        <v>4</v>
      </c>
      <c r="F183" s="10">
        <v>277</v>
      </c>
      <c r="G183" s="10">
        <v>3.1</v>
      </c>
      <c r="H183" s="10">
        <v>1</v>
      </c>
      <c r="I183" s="10">
        <v>1</v>
      </c>
      <c r="J183" s="10">
        <v>2</v>
      </c>
      <c r="K183" s="10">
        <v>1</v>
      </c>
      <c r="L183" s="10">
        <v>0</v>
      </c>
      <c r="M183" s="10">
        <v>0</v>
      </c>
      <c r="N183" s="10">
        <v>2</v>
      </c>
      <c r="O183" s="10">
        <v>0</v>
      </c>
      <c r="P183" s="10">
        <v>1.7</v>
      </c>
      <c r="Q183" s="10">
        <v>1.7</v>
      </c>
      <c r="R183" s="10">
        <v>1.2</v>
      </c>
      <c r="S183" s="10">
        <v>11</v>
      </c>
      <c r="T183" s="10">
        <v>3</v>
      </c>
      <c r="U183" s="10">
        <v>26</v>
      </c>
      <c r="V183" s="10">
        <v>0.32</v>
      </c>
      <c r="W183" s="10">
        <v>0.32</v>
      </c>
      <c r="X183" s="10">
        <v>0.65</v>
      </c>
      <c r="Y183" s="10">
        <v>0.32</v>
      </c>
      <c r="Z183" s="10">
        <v>0.54</v>
      </c>
      <c r="AA183" s="10">
        <v>0.4</v>
      </c>
      <c r="AB183" s="10">
        <v>0.54</v>
      </c>
      <c r="AC183" s="10"/>
      <c r="AD183" s="2"/>
      <c r="AE183" s="7"/>
    </row>
    <row r="184" spans="1:31" hidden="1" x14ac:dyDescent="0.35">
      <c r="A184" s="15">
        <f t="shared" si="6"/>
        <v>726</v>
      </c>
      <c r="B184" s="16">
        <v>7</v>
      </c>
      <c r="C184" s="13" t="s">
        <v>342</v>
      </c>
      <c r="D184" s="10">
        <v>7</v>
      </c>
      <c r="E184" s="10">
        <v>7</v>
      </c>
      <c r="F184" s="10">
        <v>570</v>
      </c>
      <c r="G184" s="10">
        <v>6.3</v>
      </c>
      <c r="H184" s="10">
        <v>2</v>
      </c>
      <c r="I184" s="10">
        <v>0</v>
      </c>
      <c r="J184" s="10">
        <v>2</v>
      </c>
      <c r="K184" s="10">
        <v>2</v>
      </c>
      <c r="L184" s="10">
        <v>0</v>
      </c>
      <c r="M184" s="10">
        <v>0</v>
      </c>
      <c r="N184" s="10">
        <v>1</v>
      </c>
      <c r="O184" s="10">
        <v>1</v>
      </c>
      <c r="P184" s="10">
        <v>0.7</v>
      </c>
      <c r="Q184" s="10">
        <v>0.7</v>
      </c>
      <c r="R184" s="10">
        <v>0.1</v>
      </c>
      <c r="S184" s="10">
        <v>9</v>
      </c>
      <c r="T184" s="10">
        <v>27</v>
      </c>
      <c r="U184" s="10">
        <v>0</v>
      </c>
      <c r="V184" s="10">
        <v>0.32</v>
      </c>
      <c r="W184" s="10">
        <v>0</v>
      </c>
      <c r="X184" s="10">
        <v>0.32</v>
      </c>
      <c r="Y184" s="10">
        <v>0.32</v>
      </c>
      <c r="Z184" s="10">
        <v>0.11</v>
      </c>
      <c r="AA184" s="10">
        <v>0.02</v>
      </c>
      <c r="AB184" s="10">
        <v>0.11</v>
      </c>
      <c r="AC184" s="10"/>
      <c r="AD184" s="5"/>
      <c r="AE184" s="1"/>
    </row>
    <row r="185" spans="1:31" hidden="1" x14ac:dyDescent="0.35">
      <c r="A185" s="15">
        <f t="shared" si="6"/>
        <v>727</v>
      </c>
      <c r="B185" s="16">
        <v>7</v>
      </c>
      <c r="C185" s="13" t="s">
        <v>371</v>
      </c>
      <c r="D185" s="10">
        <v>1</v>
      </c>
      <c r="E185" s="10">
        <v>1</v>
      </c>
      <c r="F185" s="10">
        <v>45</v>
      </c>
      <c r="G185" s="10">
        <v>0.5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0.3</v>
      </c>
      <c r="S185" s="10">
        <v>0</v>
      </c>
      <c r="T185" s="10">
        <v>0</v>
      </c>
      <c r="U185" s="10">
        <v>5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0.51</v>
      </c>
      <c r="AB185" s="10">
        <v>0</v>
      </c>
      <c r="AC185" s="10"/>
      <c r="AD185" s="5"/>
      <c r="AE185" s="7"/>
    </row>
    <row r="186" spans="1:31" hidden="1" x14ac:dyDescent="0.35">
      <c r="A186" s="15">
        <f t="shared" si="6"/>
        <v>728</v>
      </c>
      <c r="B186" s="16">
        <v>7</v>
      </c>
      <c r="C186" s="13" t="s">
        <v>360</v>
      </c>
      <c r="D186" s="10">
        <v>3</v>
      </c>
      <c r="E186" s="10">
        <v>2</v>
      </c>
      <c r="F186" s="10">
        <v>145</v>
      </c>
      <c r="G186" s="10">
        <v>1.6</v>
      </c>
      <c r="H186" s="10">
        <v>1</v>
      </c>
      <c r="I186" s="10">
        <v>0</v>
      </c>
      <c r="J186" s="10">
        <v>1</v>
      </c>
      <c r="K186" s="10">
        <v>1</v>
      </c>
      <c r="L186" s="10">
        <v>0</v>
      </c>
      <c r="M186" s="10">
        <v>0</v>
      </c>
      <c r="N186" s="10">
        <v>0</v>
      </c>
      <c r="O186" s="10">
        <v>0</v>
      </c>
      <c r="P186" s="10">
        <v>0.8</v>
      </c>
      <c r="Q186" s="10">
        <v>0.8</v>
      </c>
      <c r="R186" s="10">
        <v>0</v>
      </c>
      <c r="S186" s="10">
        <v>9</v>
      </c>
      <c r="T186" s="10">
        <v>11</v>
      </c>
      <c r="U186" s="10">
        <v>14</v>
      </c>
      <c r="V186" s="10">
        <v>0.62</v>
      </c>
      <c r="W186" s="10">
        <v>0</v>
      </c>
      <c r="X186" s="10">
        <v>0.62</v>
      </c>
      <c r="Y186" s="10">
        <v>0.62</v>
      </c>
      <c r="Z186" s="10">
        <v>0.5</v>
      </c>
      <c r="AA186" s="10">
        <v>0.01</v>
      </c>
      <c r="AB186" s="10">
        <v>0.5</v>
      </c>
      <c r="AC186" s="10"/>
      <c r="AD186" s="2"/>
      <c r="AE186" s="7"/>
    </row>
    <row r="187" spans="1:31" hidden="1" x14ac:dyDescent="0.35">
      <c r="A187" s="15">
        <v>801</v>
      </c>
      <c r="B187" s="16">
        <v>8</v>
      </c>
      <c r="C187" s="13" t="s">
        <v>400</v>
      </c>
      <c r="D187" s="10">
        <v>7</v>
      </c>
      <c r="E187" s="10">
        <v>7</v>
      </c>
      <c r="F187" s="10">
        <v>541</v>
      </c>
      <c r="G187" s="10">
        <v>6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1</v>
      </c>
      <c r="O187" s="10">
        <v>0</v>
      </c>
      <c r="P187" s="10">
        <v>0.2</v>
      </c>
      <c r="Q187" s="10">
        <v>0.2</v>
      </c>
      <c r="R187" s="10">
        <v>2.2000000000000002</v>
      </c>
      <c r="S187" s="10">
        <v>9</v>
      </c>
      <c r="T187" s="10">
        <v>31</v>
      </c>
      <c r="U187" s="10">
        <v>6</v>
      </c>
      <c r="V187" s="10">
        <v>0</v>
      </c>
      <c r="W187" s="10">
        <v>0</v>
      </c>
      <c r="X187" s="10">
        <v>0</v>
      </c>
      <c r="Y187" s="10">
        <v>0</v>
      </c>
      <c r="Z187" s="10">
        <v>0.03</v>
      </c>
      <c r="AA187" s="10">
        <v>0.36</v>
      </c>
      <c r="AB187" s="10">
        <v>0.03</v>
      </c>
      <c r="AC187" s="10"/>
      <c r="AD187" s="2"/>
      <c r="AE187" s="7"/>
    </row>
    <row r="188" spans="1:31" hidden="1" x14ac:dyDescent="0.35">
      <c r="A188" s="15">
        <f>A187+1</f>
        <v>802</v>
      </c>
      <c r="B188" s="16">
        <v>8</v>
      </c>
      <c r="C188" s="13" t="s">
        <v>436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/>
      <c r="AD188" s="2"/>
      <c r="AE188" s="7"/>
    </row>
    <row r="189" spans="1:31" hidden="1" x14ac:dyDescent="0.35">
      <c r="A189" s="15">
        <f t="shared" ref="A189:A213" si="7">A188+1</f>
        <v>803</v>
      </c>
      <c r="B189" s="16">
        <v>8</v>
      </c>
      <c r="C189" s="13" t="s">
        <v>396</v>
      </c>
      <c r="D189" s="10">
        <v>8</v>
      </c>
      <c r="E189" s="10">
        <v>8</v>
      </c>
      <c r="F189" s="10">
        <v>720</v>
      </c>
      <c r="G189" s="10">
        <v>8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0.4</v>
      </c>
      <c r="Q189" s="10">
        <v>0.4</v>
      </c>
      <c r="R189" s="10">
        <v>0.3</v>
      </c>
      <c r="S189" s="10">
        <v>2</v>
      </c>
      <c r="T189" s="10">
        <v>12</v>
      </c>
      <c r="U189" s="10">
        <v>1</v>
      </c>
      <c r="V189" s="10">
        <v>0</v>
      </c>
      <c r="W189" s="10">
        <v>0</v>
      </c>
      <c r="X189" s="10">
        <v>0</v>
      </c>
      <c r="Y189" s="10">
        <v>0</v>
      </c>
      <c r="Z189" s="10">
        <v>0.05</v>
      </c>
      <c r="AA189" s="10">
        <v>0.04</v>
      </c>
      <c r="AB189" s="10">
        <v>0.05</v>
      </c>
      <c r="AC189" s="10"/>
      <c r="AD189" s="2"/>
      <c r="AE189" s="7"/>
    </row>
    <row r="190" spans="1:31" hidden="1" x14ac:dyDescent="0.35">
      <c r="A190" s="15">
        <f t="shared" si="7"/>
        <v>804</v>
      </c>
      <c r="B190" s="16">
        <v>8</v>
      </c>
      <c r="C190" s="13" t="s">
        <v>419</v>
      </c>
      <c r="D190" s="10">
        <v>2</v>
      </c>
      <c r="E190" s="10">
        <v>0</v>
      </c>
      <c r="F190" s="10">
        <v>10</v>
      </c>
      <c r="G190" s="10">
        <v>0.1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1</v>
      </c>
      <c r="T190" s="10">
        <v>0</v>
      </c>
      <c r="U190" s="10">
        <v>3</v>
      </c>
      <c r="V190" s="10">
        <v>0</v>
      </c>
      <c r="W190" s="10">
        <v>0</v>
      </c>
      <c r="X190" s="10">
        <v>0</v>
      </c>
      <c r="Y190" s="10">
        <v>0</v>
      </c>
      <c r="Z190" s="10">
        <v>0.09</v>
      </c>
      <c r="AA190" s="10">
        <v>0</v>
      </c>
      <c r="AB190" s="10">
        <v>0.09</v>
      </c>
      <c r="AC190" s="10"/>
      <c r="AD190" s="2"/>
      <c r="AE190" s="7"/>
    </row>
    <row r="191" spans="1:31" hidden="1" x14ac:dyDescent="0.35">
      <c r="A191" s="15">
        <f t="shared" si="7"/>
        <v>805</v>
      </c>
      <c r="B191" s="16">
        <v>8</v>
      </c>
      <c r="C191" s="13" t="s">
        <v>402</v>
      </c>
      <c r="D191" s="10">
        <v>6</v>
      </c>
      <c r="E191" s="10">
        <v>6</v>
      </c>
      <c r="F191" s="10">
        <v>525</v>
      </c>
      <c r="G191" s="10">
        <v>5.8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0.4</v>
      </c>
      <c r="Q191" s="10">
        <v>0.4</v>
      </c>
      <c r="R191" s="10">
        <v>0.9</v>
      </c>
      <c r="S191" s="10">
        <v>8</v>
      </c>
      <c r="T191" s="10">
        <v>26</v>
      </c>
      <c r="U191" s="10">
        <v>16</v>
      </c>
      <c r="V191" s="10">
        <v>0</v>
      </c>
      <c r="W191" s="10">
        <v>0</v>
      </c>
      <c r="X191" s="10">
        <v>0</v>
      </c>
      <c r="Y191" s="10">
        <v>0</v>
      </c>
      <c r="Z191" s="10">
        <v>7.0000000000000007E-2</v>
      </c>
      <c r="AA191" s="10">
        <v>0.16</v>
      </c>
      <c r="AB191" s="10">
        <v>7.0000000000000007E-2</v>
      </c>
      <c r="AC191" s="10"/>
      <c r="AD191" s="2"/>
      <c r="AE191" s="7"/>
    </row>
    <row r="192" spans="1:31" hidden="1" x14ac:dyDescent="0.35">
      <c r="A192" s="15">
        <f t="shared" si="7"/>
        <v>806</v>
      </c>
      <c r="B192" s="16">
        <v>8</v>
      </c>
      <c r="C192" s="13" t="s">
        <v>394</v>
      </c>
      <c r="D192" s="10">
        <v>8</v>
      </c>
      <c r="E192" s="10">
        <v>8</v>
      </c>
      <c r="F192" s="10">
        <v>720</v>
      </c>
      <c r="G192" s="10">
        <v>8</v>
      </c>
      <c r="H192" s="10">
        <v>1</v>
      </c>
      <c r="I192" s="10">
        <v>2</v>
      </c>
      <c r="J192" s="10">
        <v>3</v>
      </c>
      <c r="K192" s="10">
        <v>1</v>
      </c>
      <c r="L192" s="10">
        <v>0</v>
      </c>
      <c r="M192" s="10">
        <v>0</v>
      </c>
      <c r="N192" s="10">
        <v>3</v>
      </c>
      <c r="O192" s="10">
        <v>0</v>
      </c>
      <c r="P192" s="10">
        <v>0.9</v>
      </c>
      <c r="Q192" s="10">
        <v>0.9</v>
      </c>
      <c r="R192" s="10">
        <v>2.4</v>
      </c>
      <c r="S192" s="10">
        <v>11</v>
      </c>
      <c r="T192" s="10">
        <v>19</v>
      </c>
      <c r="U192" s="10">
        <v>48</v>
      </c>
      <c r="V192" s="10">
        <v>0.12</v>
      </c>
      <c r="W192" s="10">
        <v>0.25</v>
      </c>
      <c r="X192" s="10">
        <v>0.37</v>
      </c>
      <c r="Y192" s="10">
        <v>0.12</v>
      </c>
      <c r="Z192" s="10">
        <v>0.11</v>
      </c>
      <c r="AA192" s="10">
        <v>0.3</v>
      </c>
      <c r="AB192" s="10">
        <v>0.11</v>
      </c>
      <c r="AC192" s="10"/>
      <c r="AD192" s="2"/>
      <c r="AE192" s="7"/>
    </row>
    <row r="193" spans="1:31" hidden="1" x14ac:dyDescent="0.35">
      <c r="A193" s="15">
        <f t="shared" si="7"/>
        <v>807</v>
      </c>
      <c r="B193" s="16">
        <v>8</v>
      </c>
      <c r="C193" s="13" t="s">
        <v>388</v>
      </c>
      <c r="D193" s="10">
        <v>8</v>
      </c>
      <c r="E193" s="10">
        <v>8</v>
      </c>
      <c r="F193" s="10">
        <v>720</v>
      </c>
      <c r="G193" s="10">
        <v>8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1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/>
      <c r="AD193" s="2"/>
      <c r="AE193" s="7"/>
    </row>
    <row r="194" spans="1:31" hidden="1" x14ac:dyDescent="0.35">
      <c r="A194" s="15">
        <f t="shared" si="7"/>
        <v>808</v>
      </c>
      <c r="B194" s="16">
        <v>8</v>
      </c>
      <c r="C194" s="13" t="s">
        <v>29</v>
      </c>
      <c r="D194" s="10">
        <v>1</v>
      </c>
      <c r="E194" s="10">
        <v>1</v>
      </c>
      <c r="F194" s="10">
        <v>83</v>
      </c>
      <c r="G194" s="10">
        <v>0.9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0.2</v>
      </c>
      <c r="Q194" s="10">
        <v>0.2</v>
      </c>
      <c r="R194" s="10">
        <v>0</v>
      </c>
      <c r="S194" s="10">
        <v>0</v>
      </c>
      <c r="T194" s="10">
        <v>1</v>
      </c>
      <c r="U194" s="10">
        <v>2</v>
      </c>
      <c r="V194" s="10">
        <v>0</v>
      </c>
      <c r="W194" s="10">
        <v>0</v>
      </c>
      <c r="X194" s="10">
        <v>0</v>
      </c>
      <c r="Y194" s="10">
        <v>0</v>
      </c>
      <c r="Z194" s="10">
        <v>0.26</v>
      </c>
      <c r="AA194" s="10">
        <v>0</v>
      </c>
      <c r="AB194" s="10">
        <v>0.26</v>
      </c>
      <c r="AC194" s="10"/>
      <c r="AD194" s="2"/>
      <c r="AE194" s="7"/>
    </row>
    <row r="195" spans="1:31" hidden="1" x14ac:dyDescent="0.35">
      <c r="A195" s="15">
        <f t="shared" si="7"/>
        <v>809</v>
      </c>
      <c r="B195" s="16">
        <v>8</v>
      </c>
      <c r="C195" s="13" t="s">
        <v>415</v>
      </c>
      <c r="D195" s="10">
        <v>4</v>
      </c>
      <c r="E195" s="10">
        <v>0</v>
      </c>
      <c r="F195" s="10">
        <v>80</v>
      </c>
      <c r="G195" s="10">
        <v>0.9</v>
      </c>
      <c r="H195" s="10">
        <v>1</v>
      </c>
      <c r="I195" s="10">
        <v>0</v>
      </c>
      <c r="J195" s="10">
        <v>1</v>
      </c>
      <c r="K195" s="10">
        <v>1</v>
      </c>
      <c r="L195" s="10">
        <v>0</v>
      </c>
      <c r="M195" s="10">
        <v>0</v>
      </c>
      <c r="N195" s="10">
        <v>1</v>
      </c>
      <c r="O195" s="10">
        <v>0</v>
      </c>
      <c r="P195" s="10">
        <v>0.7</v>
      </c>
      <c r="Q195" s="10">
        <v>0.7</v>
      </c>
      <c r="R195" s="10">
        <v>0.7</v>
      </c>
      <c r="S195" s="10">
        <v>1</v>
      </c>
      <c r="T195" s="10">
        <v>2</v>
      </c>
      <c r="U195" s="10">
        <v>1</v>
      </c>
      <c r="V195" s="10">
        <v>1.1299999999999999</v>
      </c>
      <c r="W195" s="10">
        <v>0</v>
      </c>
      <c r="X195" s="10">
        <v>1.1299999999999999</v>
      </c>
      <c r="Y195" s="10">
        <v>1.1299999999999999</v>
      </c>
      <c r="Z195" s="10">
        <v>0.73</v>
      </c>
      <c r="AA195" s="10">
        <v>0.77</v>
      </c>
      <c r="AB195" s="10">
        <v>0.73</v>
      </c>
      <c r="AC195" s="10"/>
      <c r="AD195" s="2"/>
      <c r="AE195" s="7"/>
    </row>
    <row r="196" spans="1:31" hidden="1" x14ac:dyDescent="0.35">
      <c r="A196" s="15">
        <f t="shared" si="7"/>
        <v>810</v>
      </c>
      <c r="B196" s="16">
        <v>8</v>
      </c>
      <c r="C196" s="13" t="s">
        <v>404</v>
      </c>
      <c r="D196" s="10">
        <v>6</v>
      </c>
      <c r="E196" s="10">
        <v>6</v>
      </c>
      <c r="F196" s="10">
        <v>521</v>
      </c>
      <c r="G196" s="10">
        <v>5.8</v>
      </c>
      <c r="H196" s="10">
        <v>3</v>
      </c>
      <c r="I196" s="10">
        <v>1</v>
      </c>
      <c r="J196" s="10">
        <v>4</v>
      </c>
      <c r="K196" s="10">
        <v>3</v>
      </c>
      <c r="L196" s="10">
        <v>0</v>
      </c>
      <c r="M196" s="10">
        <v>0</v>
      </c>
      <c r="N196" s="10">
        <v>1</v>
      </c>
      <c r="O196" s="10">
        <v>0</v>
      </c>
      <c r="P196" s="10">
        <v>3.2</v>
      </c>
      <c r="Q196" s="10">
        <v>3.2</v>
      </c>
      <c r="R196" s="10">
        <v>0.5</v>
      </c>
      <c r="S196" s="10">
        <v>12</v>
      </c>
      <c r="T196" s="10">
        <v>19</v>
      </c>
      <c r="U196" s="10">
        <v>28</v>
      </c>
      <c r="V196" s="10">
        <v>0.52</v>
      </c>
      <c r="W196" s="10">
        <v>0.17</v>
      </c>
      <c r="X196" s="10">
        <v>0.69</v>
      </c>
      <c r="Y196" s="10">
        <v>0.52</v>
      </c>
      <c r="Z196" s="10">
        <v>0.55000000000000004</v>
      </c>
      <c r="AA196" s="10">
        <v>0.09</v>
      </c>
      <c r="AB196" s="10">
        <v>0.55000000000000004</v>
      </c>
      <c r="AC196" s="10"/>
      <c r="AD196" s="2"/>
      <c r="AE196" s="7"/>
    </row>
    <row r="197" spans="1:31" hidden="1" x14ac:dyDescent="0.35">
      <c r="A197" s="15">
        <f t="shared" si="7"/>
        <v>811</v>
      </c>
      <c r="B197" s="16">
        <v>8</v>
      </c>
      <c r="C197" s="13" t="s">
        <v>426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/>
      <c r="AD197" s="2"/>
      <c r="AE197" s="7"/>
    </row>
    <row r="198" spans="1:31" hidden="1" x14ac:dyDescent="0.35">
      <c r="A198" s="15">
        <f t="shared" si="7"/>
        <v>812</v>
      </c>
      <c r="B198" s="16">
        <v>8</v>
      </c>
      <c r="C198" s="13" t="s">
        <v>398</v>
      </c>
      <c r="D198" s="10">
        <v>8</v>
      </c>
      <c r="E198" s="10">
        <v>8</v>
      </c>
      <c r="F198" s="10">
        <v>690</v>
      </c>
      <c r="G198" s="10">
        <v>7.7</v>
      </c>
      <c r="H198" s="10">
        <v>5</v>
      </c>
      <c r="I198" s="10">
        <v>0</v>
      </c>
      <c r="J198" s="10">
        <v>5</v>
      </c>
      <c r="K198" s="10">
        <v>3</v>
      </c>
      <c r="L198" s="10">
        <v>2</v>
      </c>
      <c r="M198" s="10">
        <v>2</v>
      </c>
      <c r="N198" s="10">
        <v>2</v>
      </c>
      <c r="O198" s="10">
        <v>0</v>
      </c>
      <c r="P198" s="10">
        <v>7.7</v>
      </c>
      <c r="Q198" s="10">
        <v>6.2</v>
      </c>
      <c r="R198" s="10">
        <v>0.1</v>
      </c>
      <c r="S198" s="10">
        <v>4</v>
      </c>
      <c r="T198" s="10">
        <v>8</v>
      </c>
      <c r="U198" s="10">
        <v>32</v>
      </c>
      <c r="V198" s="10">
        <v>0.65</v>
      </c>
      <c r="W198" s="10">
        <v>0</v>
      </c>
      <c r="X198" s="10">
        <v>0.65</v>
      </c>
      <c r="Y198" s="10">
        <v>0.39</v>
      </c>
      <c r="Z198" s="10">
        <v>1.01</v>
      </c>
      <c r="AA198" s="10">
        <v>0.02</v>
      </c>
      <c r="AB198" s="10">
        <v>0.8</v>
      </c>
      <c r="AC198" s="10"/>
      <c r="AD198" s="2"/>
      <c r="AE198" s="7"/>
    </row>
    <row r="199" spans="1:31" hidden="1" x14ac:dyDescent="0.35">
      <c r="A199" s="15">
        <f t="shared" si="7"/>
        <v>813</v>
      </c>
      <c r="B199" s="16">
        <v>8</v>
      </c>
      <c r="C199" s="13" t="s">
        <v>410</v>
      </c>
      <c r="D199" s="10">
        <v>7</v>
      </c>
      <c r="E199" s="10">
        <v>1</v>
      </c>
      <c r="F199" s="10">
        <v>185</v>
      </c>
      <c r="G199" s="10">
        <v>2.1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1</v>
      </c>
      <c r="O199" s="10">
        <v>0</v>
      </c>
      <c r="P199" s="10">
        <v>0.5</v>
      </c>
      <c r="Q199" s="10">
        <v>0.5</v>
      </c>
      <c r="R199" s="10">
        <v>0</v>
      </c>
      <c r="S199" s="10">
        <v>1</v>
      </c>
      <c r="T199" s="10">
        <v>10</v>
      </c>
      <c r="U199" s="10">
        <v>2</v>
      </c>
      <c r="V199" s="10">
        <v>0</v>
      </c>
      <c r="W199" s="10">
        <v>0</v>
      </c>
      <c r="X199" s="10">
        <v>0</v>
      </c>
      <c r="Y199" s="10">
        <v>0</v>
      </c>
      <c r="Z199" s="10">
        <v>0.25</v>
      </c>
      <c r="AA199" s="10">
        <v>0.02</v>
      </c>
      <c r="AB199" s="10">
        <v>0.25</v>
      </c>
      <c r="AC199" s="10"/>
      <c r="AD199" s="2"/>
      <c r="AE199" s="7"/>
    </row>
    <row r="200" spans="1:31" hidden="1" x14ac:dyDescent="0.35">
      <c r="A200" s="15">
        <f t="shared" si="7"/>
        <v>814</v>
      </c>
      <c r="B200" s="16">
        <v>8</v>
      </c>
      <c r="C200" s="13" t="s">
        <v>432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/>
      <c r="AD200" s="2"/>
      <c r="AE200" s="7"/>
    </row>
    <row r="201" spans="1:31" hidden="1" x14ac:dyDescent="0.35">
      <c r="A201" s="15">
        <f t="shared" si="7"/>
        <v>815</v>
      </c>
      <c r="B201" s="16">
        <v>8</v>
      </c>
      <c r="C201" s="13" t="s">
        <v>412</v>
      </c>
      <c r="D201" s="10">
        <v>7</v>
      </c>
      <c r="E201" s="10">
        <v>1</v>
      </c>
      <c r="F201" s="10">
        <v>149</v>
      </c>
      <c r="G201" s="10">
        <v>1.7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0.4</v>
      </c>
      <c r="Q201" s="10">
        <v>0.4</v>
      </c>
      <c r="R201" s="10">
        <v>0.1</v>
      </c>
      <c r="S201" s="10">
        <v>5</v>
      </c>
      <c r="T201" s="10">
        <v>5</v>
      </c>
      <c r="U201" s="10">
        <v>9</v>
      </c>
      <c r="V201" s="10">
        <v>0</v>
      </c>
      <c r="W201" s="10">
        <v>0</v>
      </c>
      <c r="X201" s="10">
        <v>0</v>
      </c>
      <c r="Y201" s="10">
        <v>0</v>
      </c>
      <c r="Z201" s="10">
        <v>0.26</v>
      </c>
      <c r="AA201" s="10">
        <v>7.0000000000000007E-2</v>
      </c>
      <c r="AB201" s="10">
        <v>0.26</v>
      </c>
      <c r="AC201" s="10"/>
      <c r="AD201" s="2"/>
      <c r="AE201" s="7"/>
    </row>
    <row r="202" spans="1:31" hidden="1" x14ac:dyDescent="0.35">
      <c r="A202" s="15">
        <f t="shared" si="7"/>
        <v>816</v>
      </c>
      <c r="B202" s="16">
        <v>8</v>
      </c>
      <c r="C202" s="13" t="s">
        <v>434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/>
      <c r="AD202" s="2"/>
      <c r="AE202" s="7"/>
    </row>
    <row r="203" spans="1:31" hidden="1" x14ac:dyDescent="0.35">
      <c r="A203" s="15">
        <f t="shared" si="7"/>
        <v>817</v>
      </c>
      <c r="B203" s="16">
        <v>8</v>
      </c>
      <c r="C203" s="13" t="s">
        <v>386</v>
      </c>
      <c r="D203" s="10">
        <v>8</v>
      </c>
      <c r="E203" s="10">
        <v>8</v>
      </c>
      <c r="F203" s="10">
        <v>720</v>
      </c>
      <c r="G203" s="10">
        <v>8</v>
      </c>
      <c r="H203" s="10">
        <v>1</v>
      </c>
      <c r="I203" s="10">
        <v>1</v>
      </c>
      <c r="J203" s="10">
        <v>2</v>
      </c>
      <c r="K203" s="10">
        <v>1</v>
      </c>
      <c r="L203" s="10">
        <v>0</v>
      </c>
      <c r="M203" s="10">
        <v>0</v>
      </c>
      <c r="N203" s="10">
        <v>0</v>
      </c>
      <c r="O203" s="10">
        <v>0</v>
      </c>
      <c r="P203" s="10">
        <v>0.8</v>
      </c>
      <c r="Q203" s="10">
        <v>0.8</v>
      </c>
      <c r="R203" s="10">
        <v>1.1000000000000001</v>
      </c>
      <c r="S203" s="10">
        <v>7</v>
      </c>
      <c r="T203" s="10">
        <v>39</v>
      </c>
      <c r="U203" s="10">
        <v>3</v>
      </c>
      <c r="V203" s="10">
        <v>0.12</v>
      </c>
      <c r="W203" s="10">
        <v>0.12</v>
      </c>
      <c r="X203" s="10">
        <v>0.25</v>
      </c>
      <c r="Y203" s="10">
        <v>0.12</v>
      </c>
      <c r="Z203" s="10">
        <v>0.1</v>
      </c>
      <c r="AA203" s="10">
        <v>0.13</v>
      </c>
      <c r="AB203" s="10">
        <v>0.1</v>
      </c>
      <c r="AC203" s="10"/>
      <c r="AD203" s="2"/>
      <c r="AE203" s="7"/>
    </row>
    <row r="204" spans="1:31" hidden="1" x14ac:dyDescent="0.35">
      <c r="A204" s="15">
        <f t="shared" si="7"/>
        <v>818</v>
      </c>
      <c r="B204" s="16">
        <v>8</v>
      </c>
      <c r="C204" s="13" t="s">
        <v>390</v>
      </c>
      <c r="D204" s="10">
        <v>8</v>
      </c>
      <c r="E204" s="10">
        <v>8</v>
      </c>
      <c r="F204" s="10">
        <v>720</v>
      </c>
      <c r="G204" s="10">
        <v>8</v>
      </c>
      <c r="H204" s="10">
        <v>0</v>
      </c>
      <c r="I204" s="10">
        <v>1</v>
      </c>
      <c r="J204" s="10">
        <v>1</v>
      </c>
      <c r="K204" s="10">
        <v>0</v>
      </c>
      <c r="L204" s="10">
        <v>0</v>
      </c>
      <c r="M204" s="10">
        <v>0</v>
      </c>
      <c r="N204" s="10">
        <v>1</v>
      </c>
      <c r="O204" s="10">
        <v>0</v>
      </c>
      <c r="P204" s="10">
        <v>0.3</v>
      </c>
      <c r="Q204" s="10">
        <v>0.3</v>
      </c>
      <c r="R204" s="10">
        <v>0.6</v>
      </c>
      <c r="S204" s="10">
        <v>0</v>
      </c>
      <c r="T204" s="10">
        <v>13</v>
      </c>
      <c r="U204" s="10">
        <v>3</v>
      </c>
      <c r="V204" s="10">
        <v>0</v>
      </c>
      <c r="W204" s="10">
        <v>0.12</v>
      </c>
      <c r="X204" s="10">
        <v>0.12</v>
      </c>
      <c r="Y204" s="10">
        <v>0</v>
      </c>
      <c r="Z204" s="10">
        <v>0.04</v>
      </c>
      <c r="AA204" s="10">
        <v>7.0000000000000007E-2</v>
      </c>
      <c r="AB204" s="10">
        <v>0.04</v>
      </c>
      <c r="AC204" s="10"/>
      <c r="AD204" s="2"/>
      <c r="AE204" s="7"/>
    </row>
    <row r="205" spans="1:31" hidden="1" x14ac:dyDescent="0.35">
      <c r="A205" s="15">
        <f t="shared" si="7"/>
        <v>819</v>
      </c>
      <c r="B205" s="16">
        <v>8</v>
      </c>
      <c r="C205" s="13" t="s">
        <v>420</v>
      </c>
      <c r="D205" s="10">
        <v>1</v>
      </c>
      <c r="E205" s="10">
        <v>0</v>
      </c>
      <c r="F205" s="10">
        <v>5</v>
      </c>
      <c r="G205" s="10">
        <v>0.1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/>
      <c r="AD205" s="2"/>
      <c r="AE205" s="7"/>
    </row>
    <row r="206" spans="1:31" hidden="1" x14ac:dyDescent="0.35">
      <c r="A206" s="15">
        <f t="shared" si="7"/>
        <v>820</v>
      </c>
      <c r="B206" s="16">
        <v>8</v>
      </c>
      <c r="C206" s="13" t="s">
        <v>422</v>
      </c>
      <c r="D206" s="10">
        <v>1</v>
      </c>
      <c r="E206" s="10">
        <v>0</v>
      </c>
      <c r="F206" s="10">
        <v>3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/>
      <c r="AD206" s="2"/>
      <c r="AE206" s="7"/>
    </row>
    <row r="207" spans="1:31" hidden="1" x14ac:dyDescent="0.35">
      <c r="A207" s="15">
        <f t="shared" si="7"/>
        <v>821</v>
      </c>
      <c r="B207" s="16">
        <v>8</v>
      </c>
      <c r="C207" s="13" t="s">
        <v>430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/>
      <c r="AD207" s="5"/>
      <c r="AE207" s="7"/>
    </row>
    <row r="208" spans="1:31" hidden="1" x14ac:dyDescent="0.35">
      <c r="A208" s="15">
        <f t="shared" si="7"/>
        <v>822</v>
      </c>
      <c r="B208" s="16">
        <v>8</v>
      </c>
      <c r="C208" s="13" t="s">
        <v>428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/>
      <c r="AD208" s="5"/>
      <c r="AE208" s="1"/>
    </row>
    <row r="209" spans="1:31" hidden="1" x14ac:dyDescent="0.35">
      <c r="A209" s="15">
        <f t="shared" si="7"/>
        <v>823</v>
      </c>
      <c r="B209" s="16">
        <v>8</v>
      </c>
      <c r="C209" s="13" t="s">
        <v>417</v>
      </c>
      <c r="D209" s="10">
        <v>1</v>
      </c>
      <c r="E209" s="10">
        <v>0</v>
      </c>
      <c r="F209" s="10">
        <v>25</v>
      </c>
      <c r="G209" s="10">
        <v>0.3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2</v>
      </c>
      <c r="U209" s="10">
        <v>3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/>
      <c r="AD209" s="5"/>
      <c r="AE209" s="1"/>
    </row>
    <row r="210" spans="1:31" hidden="1" x14ac:dyDescent="0.35">
      <c r="A210" s="15">
        <f t="shared" si="7"/>
        <v>824</v>
      </c>
      <c r="B210" s="16">
        <v>8</v>
      </c>
      <c r="C210" s="13" t="s">
        <v>392</v>
      </c>
      <c r="D210" s="10">
        <v>8</v>
      </c>
      <c r="E210" s="10">
        <v>8</v>
      </c>
      <c r="F210" s="10">
        <v>720</v>
      </c>
      <c r="G210" s="10">
        <v>8</v>
      </c>
      <c r="H210" s="10">
        <v>1</v>
      </c>
      <c r="I210" s="10">
        <v>0</v>
      </c>
      <c r="J210" s="10">
        <v>1</v>
      </c>
      <c r="K210" s="10">
        <v>1</v>
      </c>
      <c r="L210" s="10">
        <v>0</v>
      </c>
      <c r="M210" s="10">
        <v>0</v>
      </c>
      <c r="N210" s="10">
        <v>2</v>
      </c>
      <c r="O210" s="10">
        <v>0</v>
      </c>
      <c r="P210" s="10">
        <v>0.4</v>
      </c>
      <c r="Q210" s="10">
        <v>0.4</v>
      </c>
      <c r="R210" s="10">
        <v>0.6</v>
      </c>
      <c r="S210" s="10">
        <v>17</v>
      </c>
      <c r="T210" s="10">
        <v>13</v>
      </c>
      <c r="U210" s="10">
        <v>57</v>
      </c>
      <c r="V210" s="10">
        <v>0.12</v>
      </c>
      <c r="W210" s="10">
        <v>0</v>
      </c>
      <c r="X210" s="10">
        <v>0.12</v>
      </c>
      <c r="Y210" s="10">
        <v>0.12</v>
      </c>
      <c r="Z210" s="10">
        <v>0.05</v>
      </c>
      <c r="AA210" s="10">
        <v>0.08</v>
      </c>
      <c r="AB210" s="10">
        <v>0.05</v>
      </c>
      <c r="AC210" s="10"/>
      <c r="AD210" s="5"/>
      <c r="AE210" s="1"/>
    </row>
    <row r="211" spans="1:31" hidden="1" x14ac:dyDescent="0.35">
      <c r="A211" s="15">
        <f t="shared" si="7"/>
        <v>825</v>
      </c>
      <c r="B211" s="16">
        <v>8</v>
      </c>
      <c r="C211" s="13" t="s">
        <v>424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/>
      <c r="AD211" s="5"/>
      <c r="AE211" s="1"/>
    </row>
    <row r="212" spans="1:31" hidden="1" x14ac:dyDescent="0.35">
      <c r="A212" s="15">
        <f t="shared" si="7"/>
        <v>826</v>
      </c>
      <c r="B212" s="16">
        <v>8</v>
      </c>
      <c r="C212" s="13" t="s">
        <v>406</v>
      </c>
      <c r="D212" s="10">
        <v>6</v>
      </c>
      <c r="E212" s="10">
        <v>5</v>
      </c>
      <c r="F212" s="10">
        <v>412</v>
      </c>
      <c r="G212" s="10">
        <v>4.5999999999999996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3</v>
      </c>
      <c r="O212" s="10">
        <v>0</v>
      </c>
      <c r="P212" s="10">
        <v>0.2</v>
      </c>
      <c r="Q212" s="10">
        <v>0.2</v>
      </c>
      <c r="R212" s="10">
        <v>0.5</v>
      </c>
      <c r="S212" s="10">
        <v>2</v>
      </c>
      <c r="T212" s="10">
        <v>25</v>
      </c>
      <c r="U212" s="10">
        <v>3</v>
      </c>
      <c r="V212" s="10">
        <v>0</v>
      </c>
      <c r="W212" s="10">
        <v>0</v>
      </c>
      <c r="X212" s="10">
        <v>0</v>
      </c>
      <c r="Y212" s="10">
        <v>0</v>
      </c>
      <c r="Z212" s="10">
        <v>0.03</v>
      </c>
      <c r="AA212" s="10">
        <v>0.1</v>
      </c>
      <c r="AB212" s="10">
        <v>0.03</v>
      </c>
      <c r="AC212" s="10"/>
      <c r="AD212" s="5"/>
      <c r="AE212" s="1"/>
    </row>
    <row r="213" spans="1:31" hidden="1" x14ac:dyDescent="0.35">
      <c r="A213" s="15">
        <f t="shared" si="7"/>
        <v>827</v>
      </c>
      <c r="B213" s="16">
        <v>8</v>
      </c>
      <c r="C213" s="13" t="s">
        <v>408</v>
      </c>
      <c r="D213" s="10">
        <v>6</v>
      </c>
      <c r="E213" s="10">
        <v>5</v>
      </c>
      <c r="F213" s="10">
        <v>371</v>
      </c>
      <c r="G213" s="10">
        <v>4.0999999999999996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2</v>
      </c>
      <c r="O213" s="10">
        <v>0</v>
      </c>
      <c r="P213" s="10">
        <v>1.1000000000000001</v>
      </c>
      <c r="Q213" s="10">
        <v>1.1000000000000001</v>
      </c>
      <c r="R213" s="10">
        <v>1.2</v>
      </c>
      <c r="S213" s="10">
        <v>9</v>
      </c>
      <c r="T213" s="10">
        <v>26</v>
      </c>
      <c r="U213" s="10">
        <v>32</v>
      </c>
      <c r="V213" s="10">
        <v>0</v>
      </c>
      <c r="W213" s="10">
        <v>0</v>
      </c>
      <c r="X213" s="10">
        <v>0</v>
      </c>
      <c r="Y213" s="10">
        <v>0</v>
      </c>
      <c r="Z213" s="10">
        <v>0.28000000000000003</v>
      </c>
      <c r="AA213" s="10">
        <v>0.28999999999999998</v>
      </c>
      <c r="AB213" s="10">
        <v>0.28000000000000003</v>
      </c>
      <c r="AC213" s="10"/>
      <c r="AD213" s="2"/>
      <c r="AE213" s="1"/>
    </row>
    <row r="214" spans="1:31" hidden="1" x14ac:dyDescent="0.35">
      <c r="A214" s="15">
        <v>901</v>
      </c>
      <c r="B214" s="16">
        <v>9</v>
      </c>
      <c r="C214" s="13" t="s">
        <v>477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/>
      <c r="AD214" s="2"/>
      <c r="AE214" s="1"/>
    </row>
    <row r="215" spans="1:31" hidden="1" x14ac:dyDescent="0.35">
      <c r="A215" s="15">
        <f>A214+1</f>
        <v>902</v>
      </c>
      <c r="B215" s="16">
        <v>9</v>
      </c>
      <c r="C215" s="13" t="s">
        <v>457</v>
      </c>
      <c r="D215" s="10">
        <v>8</v>
      </c>
      <c r="E215" s="10">
        <v>6</v>
      </c>
      <c r="F215" s="10">
        <v>498</v>
      </c>
      <c r="G215" s="10">
        <v>5.5</v>
      </c>
      <c r="H215" s="10">
        <v>1</v>
      </c>
      <c r="I215" s="10">
        <v>0</v>
      </c>
      <c r="J215" s="10">
        <v>1</v>
      </c>
      <c r="K215" s="10">
        <v>1</v>
      </c>
      <c r="L215" s="10">
        <v>0</v>
      </c>
      <c r="M215" s="10">
        <v>0</v>
      </c>
      <c r="N215" s="10">
        <v>1</v>
      </c>
      <c r="O215" s="10">
        <v>0</v>
      </c>
      <c r="P215" s="10">
        <v>3.4</v>
      </c>
      <c r="Q215" s="10">
        <v>3.4</v>
      </c>
      <c r="R215" s="10">
        <v>0.2</v>
      </c>
      <c r="S215" s="10">
        <v>1</v>
      </c>
      <c r="T215" s="10">
        <v>2</v>
      </c>
      <c r="U215" s="10">
        <v>24</v>
      </c>
      <c r="V215" s="10">
        <v>0.18</v>
      </c>
      <c r="W215" s="10">
        <v>0</v>
      </c>
      <c r="X215" s="10">
        <v>0.18</v>
      </c>
      <c r="Y215" s="10">
        <v>0.18</v>
      </c>
      <c r="Z215" s="10">
        <v>0.61</v>
      </c>
      <c r="AA215" s="10">
        <v>0.04</v>
      </c>
      <c r="AB215" s="10">
        <v>0.61</v>
      </c>
      <c r="AC215" s="10"/>
      <c r="AD215" s="2"/>
      <c r="AE215" s="1"/>
    </row>
    <row r="216" spans="1:31" hidden="1" x14ac:dyDescent="0.35">
      <c r="A216" s="15">
        <f t="shared" ref="A216:A240" si="8">A215+1</f>
        <v>903</v>
      </c>
      <c r="B216" s="16">
        <v>9</v>
      </c>
      <c r="C216" s="13" t="s">
        <v>465</v>
      </c>
      <c r="D216" s="10">
        <v>8</v>
      </c>
      <c r="E216" s="10">
        <v>2</v>
      </c>
      <c r="F216" s="10">
        <v>227</v>
      </c>
      <c r="G216" s="10">
        <v>2.5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0.5</v>
      </c>
      <c r="Q216" s="10">
        <v>0.5</v>
      </c>
      <c r="R216" s="10">
        <v>0</v>
      </c>
      <c r="S216" s="10">
        <v>2</v>
      </c>
      <c r="T216" s="10">
        <v>2</v>
      </c>
      <c r="U216" s="10">
        <v>14</v>
      </c>
      <c r="V216" s="10">
        <v>0</v>
      </c>
      <c r="W216" s="10">
        <v>0</v>
      </c>
      <c r="X216" s="10">
        <v>0</v>
      </c>
      <c r="Y216" s="10">
        <v>0</v>
      </c>
      <c r="Z216" s="10">
        <v>0.18</v>
      </c>
      <c r="AA216" s="10">
        <v>0.01</v>
      </c>
      <c r="AB216" s="10">
        <v>0.18</v>
      </c>
      <c r="AC216" s="10"/>
      <c r="AD216" s="2"/>
      <c r="AE216" s="1"/>
    </row>
    <row r="217" spans="1:31" hidden="1" x14ac:dyDescent="0.35">
      <c r="A217" s="15">
        <f t="shared" si="8"/>
        <v>904</v>
      </c>
      <c r="B217" s="16">
        <v>9</v>
      </c>
      <c r="C217" s="13" t="s">
        <v>471</v>
      </c>
      <c r="D217" s="10">
        <v>2</v>
      </c>
      <c r="E217" s="10">
        <v>0</v>
      </c>
      <c r="F217" s="10">
        <v>25</v>
      </c>
      <c r="G217" s="10">
        <v>0.3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0.2</v>
      </c>
      <c r="Q217" s="10">
        <v>0.2</v>
      </c>
      <c r="R217" s="10">
        <v>0.1</v>
      </c>
      <c r="S217" s="10">
        <v>0</v>
      </c>
      <c r="T217" s="10">
        <v>0</v>
      </c>
      <c r="U217" s="10">
        <v>2</v>
      </c>
      <c r="V217" s="10">
        <v>0</v>
      </c>
      <c r="W217" s="10">
        <v>0</v>
      </c>
      <c r="X217" s="10">
        <v>0</v>
      </c>
      <c r="Y217" s="10">
        <v>0</v>
      </c>
      <c r="Z217" s="10">
        <v>0.88</v>
      </c>
      <c r="AA217" s="10">
        <v>0.51</v>
      </c>
      <c r="AB217" s="10">
        <v>0.88</v>
      </c>
      <c r="AC217" s="10"/>
      <c r="AD217" s="2"/>
      <c r="AE217" s="1"/>
    </row>
    <row r="218" spans="1:31" hidden="1" x14ac:dyDescent="0.35">
      <c r="A218" s="15">
        <f t="shared" si="8"/>
        <v>905</v>
      </c>
      <c r="B218" s="16">
        <v>9</v>
      </c>
      <c r="C218" s="13" t="s">
        <v>479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/>
      <c r="AD218" s="2"/>
      <c r="AE218" s="1"/>
    </row>
    <row r="219" spans="1:31" hidden="1" x14ac:dyDescent="0.35">
      <c r="A219" s="15">
        <f t="shared" si="8"/>
        <v>906</v>
      </c>
      <c r="B219" s="16">
        <v>9</v>
      </c>
      <c r="C219" s="13" t="s">
        <v>475</v>
      </c>
      <c r="D219" s="10">
        <v>1</v>
      </c>
      <c r="E219" s="10">
        <v>0</v>
      </c>
      <c r="F219" s="10">
        <v>1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/>
      <c r="AD219" s="2"/>
      <c r="AE219" s="1"/>
    </row>
    <row r="220" spans="1:31" hidden="1" x14ac:dyDescent="0.35">
      <c r="A220" s="15">
        <f t="shared" si="8"/>
        <v>907</v>
      </c>
      <c r="B220" s="16">
        <v>9</v>
      </c>
      <c r="C220" s="13" t="s">
        <v>491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/>
      <c r="AD220" s="2"/>
      <c r="AE220" s="1"/>
    </row>
    <row r="221" spans="1:31" hidden="1" x14ac:dyDescent="0.35">
      <c r="A221" s="15">
        <f t="shared" si="8"/>
        <v>908</v>
      </c>
      <c r="B221" s="16">
        <v>9</v>
      </c>
      <c r="C221" s="13" t="s">
        <v>447</v>
      </c>
      <c r="D221" s="10">
        <v>8</v>
      </c>
      <c r="E221" s="10">
        <v>8</v>
      </c>
      <c r="F221" s="10">
        <v>694</v>
      </c>
      <c r="G221" s="10">
        <v>7.7</v>
      </c>
      <c r="H221" s="10">
        <v>1</v>
      </c>
      <c r="I221" s="10">
        <v>0</v>
      </c>
      <c r="J221" s="10">
        <v>1</v>
      </c>
      <c r="K221" s="10">
        <v>1</v>
      </c>
      <c r="L221" s="10">
        <v>0</v>
      </c>
      <c r="M221" s="10">
        <v>0</v>
      </c>
      <c r="N221" s="10">
        <v>0</v>
      </c>
      <c r="O221" s="10">
        <v>0</v>
      </c>
      <c r="P221" s="10">
        <v>0.8</v>
      </c>
      <c r="Q221" s="10">
        <v>0.8</v>
      </c>
      <c r="R221" s="10">
        <v>0.1</v>
      </c>
      <c r="S221" s="10">
        <v>1</v>
      </c>
      <c r="T221" s="10">
        <v>18</v>
      </c>
      <c r="U221" s="10">
        <v>1</v>
      </c>
      <c r="V221" s="10">
        <v>0.13</v>
      </c>
      <c r="W221" s="10">
        <v>0</v>
      </c>
      <c r="X221" s="10">
        <v>0.13</v>
      </c>
      <c r="Y221" s="10">
        <v>0.13</v>
      </c>
      <c r="Z221" s="10">
        <v>0.1</v>
      </c>
      <c r="AA221" s="10">
        <v>0.01</v>
      </c>
      <c r="AB221" s="10">
        <v>0.1</v>
      </c>
      <c r="AC221" s="10"/>
      <c r="AD221" s="2"/>
      <c r="AE221" s="1"/>
    </row>
    <row r="222" spans="1:31" hidden="1" x14ac:dyDescent="0.35">
      <c r="A222" s="15">
        <f t="shared" si="8"/>
        <v>909</v>
      </c>
      <c r="B222" s="16">
        <v>9</v>
      </c>
      <c r="C222" s="13" t="s">
        <v>451</v>
      </c>
      <c r="D222" s="10">
        <v>8</v>
      </c>
      <c r="E222" s="10">
        <v>8</v>
      </c>
      <c r="F222" s="10">
        <v>671</v>
      </c>
      <c r="G222" s="10">
        <v>7.5</v>
      </c>
      <c r="H222" s="10">
        <v>3</v>
      </c>
      <c r="I222" s="10">
        <v>1</v>
      </c>
      <c r="J222" s="10">
        <v>4</v>
      </c>
      <c r="K222" s="10">
        <v>2</v>
      </c>
      <c r="L222" s="10">
        <v>1</v>
      </c>
      <c r="M222" s="10">
        <v>1</v>
      </c>
      <c r="N222" s="10">
        <v>2</v>
      </c>
      <c r="O222" s="10">
        <v>0</v>
      </c>
      <c r="P222" s="10">
        <v>2.2000000000000002</v>
      </c>
      <c r="Q222" s="10">
        <v>1.4</v>
      </c>
      <c r="R222" s="10">
        <v>2</v>
      </c>
      <c r="S222" s="10">
        <v>19</v>
      </c>
      <c r="T222" s="10">
        <v>12</v>
      </c>
      <c r="U222" s="10">
        <v>35</v>
      </c>
      <c r="V222" s="10">
        <v>0.4</v>
      </c>
      <c r="W222" s="10">
        <v>0.13</v>
      </c>
      <c r="X222" s="10">
        <v>0.54</v>
      </c>
      <c r="Y222" s="10">
        <v>0.27</v>
      </c>
      <c r="Z222" s="10">
        <v>0.28999999999999998</v>
      </c>
      <c r="AA222" s="10">
        <v>0.27</v>
      </c>
      <c r="AB222" s="10">
        <v>0.19</v>
      </c>
      <c r="AC222" s="10"/>
      <c r="AD222" s="2"/>
      <c r="AE222" s="1"/>
    </row>
    <row r="223" spans="1:31" hidden="1" x14ac:dyDescent="0.35">
      <c r="A223" s="15">
        <f t="shared" si="8"/>
        <v>910</v>
      </c>
      <c r="B223" s="16">
        <v>9</v>
      </c>
      <c r="C223" s="13" t="s">
        <v>453</v>
      </c>
      <c r="D223" s="10">
        <v>7</v>
      </c>
      <c r="E223" s="10">
        <v>7</v>
      </c>
      <c r="F223" s="10">
        <v>625</v>
      </c>
      <c r="G223" s="10">
        <v>6.9</v>
      </c>
      <c r="H223" s="10">
        <v>1</v>
      </c>
      <c r="I223" s="10">
        <v>1</v>
      </c>
      <c r="J223" s="10">
        <v>2</v>
      </c>
      <c r="K223" s="10">
        <v>1</v>
      </c>
      <c r="L223" s="10">
        <v>0</v>
      </c>
      <c r="M223" s="10">
        <v>0</v>
      </c>
      <c r="N223" s="10">
        <v>5</v>
      </c>
      <c r="O223" s="10">
        <v>0</v>
      </c>
      <c r="P223" s="10">
        <v>0.4</v>
      </c>
      <c r="Q223" s="10">
        <v>0.4</v>
      </c>
      <c r="R223" s="10">
        <v>1.8</v>
      </c>
      <c r="S223" s="10">
        <v>12</v>
      </c>
      <c r="T223" s="10">
        <v>36</v>
      </c>
      <c r="U223" s="10">
        <v>24</v>
      </c>
      <c r="V223" s="10">
        <v>0.14000000000000001</v>
      </c>
      <c r="W223" s="10">
        <v>0.14000000000000001</v>
      </c>
      <c r="X223" s="10">
        <v>0.28999999999999998</v>
      </c>
      <c r="Y223" s="10">
        <v>0.14000000000000001</v>
      </c>
      <c r="Z223" s="10">
        <v>0.06</v>
      </c>
      <c r="AA223" s="10">
        <v>0.26</v>
      </c>
      <c r="AB223" s="10">
        <v>0.06</v>
      </c>
      <c r="AC223" s="10"/>
      <c r="AD223" s="2"/>
      <c r="AE223" s="1"/>
    </row>
    <row r="224" spans="1:31" hidden="1" x14ac:dyDescent="0.35">
      <c r="A224" s="15">
        <f t="shared" si="8"/>
        <v>911</v>
      </c>
      <c r="B224" s="16">
        <v>9</v>
      </c>
      <c r="C224" s="13" t="s">
        <v>441</v>
      </c>
      <c r="D224" s="10">
        <v>8</v>
      </c>
      <c r="E224" s="10">
        <v>8</v>
      </c>
      <c r="F224" s="10">
        <v>720</v>
      </c>
      <c r="G224" s="10">
        <v>8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0.4</v>
      </c>
      <c r="Q224" s="10">
        <v>0.4</v>
      </c>
      <c r="R224" s="10">
        <v>0.1</v>
      </c>
      <c r="S224" s="10">
        <v>8</v>
      </c>
      <c r="T224" s="10">
        <v>20</v>
      </c>
      <c r="U224" s="10">
        <v>20</v>
      </c>
      <c r="V224" s="10">
        <v>0</v>
      </c>
      <c r="W224" s="10">
        <v>0</v>
      </c>
      <c r="X224" s="10">
        <v>0</v>
      </c>
      <c r="Y224" s="10">
        <v>0</v>
      </c>
      <c r="Z224" s="10">
        <v>0.05</v>
      </c>
      <c r="AA224" s="10">
        <v>0.01</v>
      </c>
      <c r="AB224" s="10">
        <v>0.05</v>
      </c>
      <c r="AC224" s="10"/>
      <c r="AD224" s="2"/>
      <c r="AE224" s="1"/>
    </row>
    <row r="225" spans="1:31" hidden="1" x14ac:dyDescent="0.35">
      <c r="A225" s="15">
        <f t="shared" si="8"/>
        <v>912</v>
      </c>
      <c r="B225" s="16">
        <v>9</v>
      </c>
      <c r="C225" s="13" t="s">
        <v>439</v>
      </c>
      <c r="D225" s="10">
        <v>8</v>
      </c>
      <c r="E225" s="10">
        <v>8</v>
      </c>
      <c r="F225" s="10">
        <v>720</v>
      </c>
      <c r="G225" s="10">
        <v>8</v>
      </c>
      <c r="H225" s="10">
        <v>1</v>
      </c>
      <c r="I225" s="10">
        <v>1</v>
      </c>
      <c r="J225" s="10">
        <v>2</v>
      </c>
      <c r="K225" s="10">
        <v>1</v>
      </c>
      <c r="L225" s="10">
        <v>0</v>
      </c>
      <c r="M225" s="10">
        <v>0</v>
      </c>
      <c r="N225" s="10">
        <v>3</v>
      </c>
      <c r="O225" s="10">
        <v>0</v>
      </c>
      <c r="P225" s="10">
        <v>0.6</v>
      </c>
      <c r="Q225" s="10">
        <v>0.6</v>
      </c>
      <c r="R225" s="10">
        <v>0.8</v>
      </c>
      <c r="S225" s="10">
        <v>7</v>
      </c>
      <c r="T225" s="10">
        <v>38</v>
      </c>
      <c r="U225" s="10">
        <v>13</v>
      </c>
      <c r="V225" s="10">
        <v>0.12</v>
      </c>
      <c r="W225" s="10">
        <v>0.12</v>
      </c>
      <c r="X225" s="10">
        <v>0.25</v>
      </c>
      <c r="Y225" s="10">
        <v>0.12</v>
      </c>
      <c r="Z225" s="10">
        <v>0.08</v>
      </c>
      <c r="AA225" s="10">
        <v>0.1</v>
      </c>
      <c r="AB225" s="10">
        <v>0.08</v>
      </c>
      <c r="AC225" s="10"/>
      <c r="AD225" s="2"/>
      <c r="AE225" s="1"/>
    </row>
    <row r="226" spans="1:31" hidden="1" x14ac:dyDescent="0.35">
      <c r="A226" s="15">
        <f t="shared" si="8"/>
        <v>913</v>
      </c>
      <c r="B226" s="16">
        <v>9</v>
      </c>
      <c r="C226" s="13" t="s">
        <v>445</v>
      </c>
      <c r="D226" s="10">
        <v>8</v>
      </c>
      <c r="E226" s="10">
        <v>8</v>
      </c>
      <c r="F226" s="10">
        <v>720</v>
      </c>
      <c r="G226" s="10">
        <v>8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1</v>
      </c>
      <c r="O226" s="10">
        <v>0</v>
      </c>
      <c r="P226" s="10">
        <v>0.4</v>
      </c>
      <c r="Q226" s="10">
        <v>0.4</v>
      </c>
      <c r="R226" s="10">
        <v>0.3</v>
      </c>
      <c r="S226" s="10">
        <v>5</v>
      </c>
      <c r="T226" s="10">
        <v>24</v>
      </c>
      <c r="U226" s="10">
        <v>2</v>
      </c>
      <c r="V226" s="10">
        <v>0</v>
      </c>
      <c r="W226" s="10">
        <v>0</v>
      </c>
      <c r="X226" s="10">
        <v>0</v>
      </c>
      <c r="Y226" s="10">
        <v>0</v>
      </c>
      <c r="Z226" s="10">
        <v>0.05</v>
      </c>
      <c r="AA226" s="10">
        <v>0.04</v>
      </c>
      <c r="AB226" s="10">
        <v>0.05</v>
      </c>
      <c r="AC226" s="10"/>
      <c r="AD226" s="2"/>
      <c r="AE226" s="1"/>
    </row>
    <row r="227" spans="1:31" hidden="1" x14ac:dyDescent="0.35">
      <c r="A227" s="15">
        <f t="shared" si="8"/>
        <v>914</v>
      </c>
      <c r="B227" s="16">
        <v>9</v>
      </c>
      <c r="C227" s="13" t="s">
        <v>443</v>
      </c>
      <c r="D227" s="10">
        <v>8</v>
      </c>
      <c r="E227" s="10">
        <v>8</v>
      </c>
      <c r="F227" s="10">
        <v>720</v>
      </c>
      <c r="G227" s="10">
        <v>8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/>
      <c r="AD227" s="2"/>
      <c r="AE227" s="1"/>
    </row>
    <row r="228" spans="1:31" hidden="1" x14ac:dyDescent="0.35">
      <c r="A228" s="15">
        <f t="shared" si="8"/>
        <v>915</v>
      </c>
      <c r="B228" s="16">
        <v>9</v>
      </c>
      <c r="C228" s="13" t="s">
        <v>455</v>
      </c>
      <c r="D228" s="10">
        <v>7</v>
      </c>
      <c r="E228" s="10">
        <v>6</v>
      </c>
      <c r="F228" s="10">
        <v>556</v>
      </c>
      <c r="G228" s="10">
        <v>6.2</v>
      </c>
      <c r="H228" s="10">
        <v>1</v>
      </c>
      <c r="I228" s="10">
        <v>4</v>
      </c>
      <c r="J228" s="10">
        <v>5</v>
      </c>
      <c r="K228" s="10">
        <v>1</v>
      </c>
      <c r="L228" s="10">
        <v>0</v>
      </c>
      <c r="M228" s="10">
        <v>0</v>
      </c>
      <c r="N228" s="10">
        <v>2</v>
      </c>
      <c r="O228" s="10">
        <v>0</v>
      </c>
      <c r="P228" s="10">
        <v>0.9</v>
      </c>
      <c r="Q228" s="10">
        <v>0.9</v>
      </c>
      <c r="R228" s="10">
        <v>2.4</v>
      </c>
      <c r="S228" s="10">
        <v>49</v>
      </c>
      <c r="T228" s="10">
        <v>29</v>
      </c>
      <c r="U228" s="10">
        <v>63</v>
      </c>
      <c r="V228" s="10">
        <v>0.16</v>
      </c>
      <c r="W228" s="10">
        <v>0.65</v>
      </c>
      <c r="X228" s="10">
        <v>0.81</v>
      </c>
      <c r="Y228" s="10">
        <v>0.16</v>
      </c>
      <c r="Z228" s="10">
        <v>0.15</v>
      </c>
      <c r="AA228" s="10">
        <v>0.39</v>
      </c>
      <c r="AB228" s="10">
        <v>0.15</v>
      </c>
      <c r="AC228" s="10"/>
      <c r="AD228" s="2"/>
      <c r="AE228" s="1"/>
    </row>
    <row r="229" spans="1:31" hidden="1" x14ac:dyDescent="0.35">
      <c r="A229" s="15">
        <f t="shared" si="8"/>
        <v>916</v>
      </c>
      <c r="B229" s="16">
        <v>9</v>
      </c>
      <c r="C229" s="13" t="s">
        <v>489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/>
      <c r="AD229" s="2"/>
      <c r="AE229" s="1"/>
    </row>
    <row r="230" spans="1:31" hidden="1" x14ac:dyDescent="0.35">
      <c r="A230" s="15">
        <f t="shared" si="8"/>
        <v>917</v>
      </c>
      <c r="B230" s="16">
        <v>9</v>
      </c>
      <c r="C230" s="13" t="s">
        <v>469</v>
      </c>
      <c r="D230" s="10">
        <v>2</v>
      </c>
      <c r="E230" s="10">
        <v>0</v>
      </c>
      <c r="F230" s="10">
        <v>46</v>
      </c>
      <c r="G230" s="10">
        <v>0.5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0.1</v>
      </c>
      <c r="Q230" s="10">
        <v>0.1</v>
      </c>
      <c r="R230" s="10">
        <v>0.1</v>
      </c>
      <c r="S230" s="10">
        <v>0</v>
      </c>
      <c r="T230" s="10">
        <v>3</v>
      </c>
      <c r="U230" s="10">
        <v>5</v>
      </c>
      <c r="V230" s="10">
        <v>0</v>
      </c>
      <c r="W230" s="10">
        <v>0</v>
      </c>
      <c r="X230" s="10">
        <v>0</v>
      </c>
      <c r="Y230" s="10">
        <v>0</v>
      </c>
      <c r="Z230" s="10">
        <v>0.11</v>
      </c>
      <c r="AA230" s="10">
        <v>0.14000000000000001</v>
      </c>
      <c r="AB230" s="10">
        <v>0.11</v>
      </c>
      <c r="AC230" s="10"/>
      <c r="AD230" s="2"/>
      <c r="AE230" s="1"/>
    </row>
    <row r="231" spans="1:31" hidden="1" x14ac:dyDescent="0.35">
      <c r="A231" s="15">
        <f t="shared" si="8"/>
        <v>918</v>
      </c>
      <c r="B231" s="16">
        <v>9</v>
      </c>
      <c r="C231" s="13" t="s">
        <v>449</v>
      </c>
      <c r="D231" s="10">
        <v>8</v>
      </c>
      <c r="E231" s="10">
        <v>8</v>
      </c>
      <c r="F231" s="10">
        <v>684</v>
      </c>
      <c r="G231" s="10">
        <v>7.6</v>
      </c>
      <c r="H231" s="10">
        <v>1</v>
      </c>
      <c r="I231" s="10">
        <v>0</v>
      </c>
      <c r="J231" s="10">
        <v>1</v>
      </c>
      <c r="K231" s="10">
        <v>1</v>
      </c>
      <c r="L231" s="10">
        <v>0</v>
      </c>
      <c r="M231" s="10">
        <v>0</v>
      </c>
      <c r="N231" s="10">
        <v>0</v>
      </c>
      <c r="O231" s="10">
        <v>0</v>
      </c>
      <c r="P231" s="10">
        <v>0.7</v>
      </c>
      <c r="Q231" s="10">
        <v>0.7</v>
      </c>
      <c r="R231" s="10">
        <v>0.1</v>
      </c>
      <c r="S231" s="10">
        <v>3</v>
      </c>
      <c r="T231" s="10">
        <v>38</v>
      </c>
      <c r="U231" s="10">
        <v>11</v>
      </c>
      <c r="V231" s="10">
        <v>0.13</v>
      </c>
      <c r="W231" s="10">
        <v>0</v>
      </c>
      <c r="X231" s="10">
        <v>0.13</v>
      </c>
      <c r="Y231" s="10">
        <v>0.13</v>
      </c>
      <c r="Z231" s="10">
        <v>0.1</v>
      </c>
      <c r="AA231" s="10">
        <v>0.02</v>
      </c>
      <c r="AB231" s="10">
        <v>0.1</v>
      </c>
      <c r="AC231" s="10"/>
      <c r="AD231" s="2"/>
      <c r="AE231" s="1"/>
    </row>
    <row r="232" spans="1:31" hidden="1" x14ac:dyDescent="0.35">
      <c r="A232" s="15">
        <f t="shared" si="8"/>
        <v>919</v>
      </c>
      <c r="B232" s="16">
        <v>9</v>
      </c>
      <c r="C232" s="13" t="s">
        <v>487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/>
      <c r="AD232" s="2"/>
      <c r="AE232" s="1"/>
    </row>
    <row r="233" spans="1:31" hidden="1" x14ac:dyDescent="0.35">
      <c r="A233" s="15">
        <f t="shared" si="8"/>
        <v>920</v>
      </c>
      <c r="B233" s="16">
        <v>9</v>
      </c>
      <c r="C233" s="13" t="s">
        <v>473</v>
      </c>
      <c r="D233" s="10">
        <v>2</v>
      </c>
      <c r="E233" s="10">
        <v>0</v>
      </c>
      <c r="F233" s="10">
        <v>2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/>
      <c r="AD233" s="5"/>
      <c r="AE233" s="1"/>
    </row>
    <row r="234" spans="1:31" hidden="1" x14ac:dyDescent="0.35">
      <c r="A234" s="15">
        <f t="shared" si="8"/>
        <v>921</v>
      </c>
      <c r="B234" s="16">
        <v>9</v>
      </c>
      <c r="C234" s="13" t="s">
        <v>463</v>
      </c>
      <c r="D234" s="10">
        <v>6</v>
      </c>
      <c r="E234" s="10">
        <v>2</v>
      </c>
      <c r="F234" s="10">
        <v>234</v>
      </c>
      <c r="G234" s="10">
        <v>2.6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1</v>
      </c>
      <c r="O234" s="10">
        <v>0</v>
      </c>
      <c r="P234" s="10">
        <v>0.2</v>
      </c>
      <c r="Q234" s="10">
        <v>0.2</v>
      </c>
      <c r="R234" s="10">
        <v>0</v>
      </c>
      <c r="S234" s="10">
        <v>2</v>
      </c>
      <c r="T234" s="10">
        <v>5</v>
      </c>
      <c r="U234" s="10">
        <v>12</v>
      </c>
      <c r="V234" s="10">
        <v>0</v>
      </c>
      <c r="W234" s="10">
        <v>0</v>
      </c>
      <c r="X234" s="10">
        <v>0</v>
      </c>
      <c r="Y234" s="10">
        <v>0</v>
      </c>
      <c r="Z234" s="10">
        <v>0.09</v>
      </c>
      <c r="AA234" s="10">
        <v>0.01</v>
      </c>
      <c r="AB234" s="10">
        <v>0.09</v>
      </c>
      <c r="AC234" s="10"/>
      <c r="AD234" s="5"/>
      <c r="AE234" s="1"/>
    </row>
    <row r="235" spans="1:31" hidden="1" x14ac:dyDescent="0.35">
      <c r="A235" s="15">
        <f t="shared" si="8"/>
        <v>922</v>
      </c>
      <c r="B235" s="16">
        <v>9</v>
      </c>
      <c r="C235" s="13" t="s">
        <v>461</v>
      </c>
      <c r="D235" s="10">
        <v>6</v>
      </c>
      <c r="E235" s="10">
        <v>3</v>
      </c>
      <c r="F235" s="10">
        <v>267</v>
      </c>
      <c r="G235" s="10">
        <v>3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3</v>
      </c>
      <c r="O235" s="10">
        <v>0</v>
      </c>
      <c r="P235" s="10">
        <v>0.2</v>
      </c>
      <c r="Q235" s="10">
        <v>0.2</v>
      </c>
      <c r="R235" s="10">
        <v>0</v>
      </c>
      <c r="S235" s="10">
        <v>1</v>
      </c>
      <c r="T235" s="10">
        <v>8</v>
      </c>
      <c r="U235" s="10">
        <v>6</v>
      </c>
      <c r="V235" s="10">
        <v>0</v>
      </c>
      <c r="W235" s="10">
        <v>0</v>
      </c>
      <c r="X235" s="10">
        <v>0</v>
      </c>
      <c r="Y235" s="10">
        <v>0</v>
      </c>
      <c r="Z235" s="10">
        <v>0.05</v>
      </c>
      <c r="AA235" s="10">
        <v>0</v>
      </c>
      <c r="AB235" s="10">
        <v>0.05</v>
      </c>
      <c r="AC235" s="10"/>
      <c r="AD235" s="5"/>
      <c r="AE235" s="1"/>
    </row>
    <row r="236" spans="1:31" hidden="1" x14ac:dyDescent="0.35">
      <c r="A236" s="15">
        <f t="shared" si="8"/>
        <v>923</v>
      </c>
      <c r="B236" s="16">
        <v>9</v>
      </c>
      <c r="C236" s="13" t="s">
        <v>483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/>
      <c r="AD236" s="5"/>
      <c r="AE236" s="1"/>
    </row>
    <row r="237" spans="1:31" hidden="1" x14ac:dyDescent="0.35">
      <c r="A237" s="15">
        <f t="shared" si="8"/>
        <v>924</v>
      </c>
      <c r="B237" s="16">
        <v>9</v>
      </c>
      <c r="C237" s="13" t="s">
        <v>467</v>
      </c>
      <c r="D237" s="10">
        <v>4</v>
      </c>
      <c r="E237" s="10">
        <v>1</v>
      </c>
      <c r="F237" s="10">
        <v>65</v>
      </c>
      <c r="G237" s="10">
        <v>0.7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1</v>
      </c>
      <c r="O237" s="10">
        <v>0</v>
      </c>
      <c r="P237" s="10">
        <v>0</v>
      </c>
      <c r="Q237" s="10">
        <v>0</v>
      </c>
      <c r="R237" s="10">
        <v>0</v>
      </c>
      <c r="S237" s="10">
        <v>2</v>
      </c>
      <c r="T237" s="10">
        <v>0</v>
      </c>
      <c r="U237" s="10">
        <v>5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/>
      <c r="AD237" s="5"/>
      <c r="AE237" s="1"/>
    </row>
    <row r="238" spans="1:31" hidden="1" x14ac:dyDescent="0.35">
      <c r="A238" s="15">
        <f t="shared" si="8"/>
        <v>925</v>
      </c>
      <c r="B238" s="16">
        <v>9</v>
      </c>
      <c r="C238" s="13" t="s">
        <v>485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/>
      <c r="AD238" s="5"/>
      <c r="AE238" s="1"/>
    </row>
    <row r="239" spans="1:31" hidden="1" x14ac:dyDescent="0.35">
      <c r="A239" s="15">
        <f t="shared" si="8"/>
        <v>926</v>
      </c>
      <c r="B239" s="16">
        <v>9</v>
      </c>
      <c r="C239" s="13" t="s">
        <v>459</v>
      </c>
      <c r="D239" s="10">
        <v>5</v>
      </c>
      <c r="E239" s="10">
        <v>5</v>
      </c>
      <c r="F239" s="10">
        <v>445</v>
      </c>
      <c r="G239" s="10">
        <v>4.9000000000000004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1</v>
      </c>
      <c r="O239" s="10">
        <v>0</v>
      </c>
      <c r="P239" s="10">
        <v>0</v>
      </c>
      <c r="Q239" s="10">
        <v>0</v>
      </c>
      <c r="R239" s="10">
        <v>0.2</v>
      </c>
      <c r="S239" s="10">
        <v>9</v>
      </c>
      <c r="T239" s="10">
        <v>26</v>
      </c>
      <c r="U239" s="10">
        <v>20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0.04</v>
      </c>
      <c r="AB239" s="10">
        <v>0</v>
      </c>
      <c r="AC239" s="10"/>
      <c r="AD239" s="5"/>
      <c r="AE239" s="1"/>
    </row>
    <row r="240" spans="1:31" hidden="1" x14ac:dyDescent="0.35">
      <c r="A240" s="15">
        <f t="shared" si="8"/>
        <v>927</v>
      </c>
      <c r="B240" s="16">
        <v>9</v>
      </c>
      <c r="C240" s="13" t="s">
        <v>481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/>
      <c r="AD240" s="2"/>
      <c r="AE240" s="1"/>
    </row>
    <row r="241" spans="1:31" hidden="1" x14ac:dyDescent="0.35">
      <c r="A241" s="15">
        <v>1001</v>
      </c>
      <c r="B241" s="16">
        <v>10</v>
      </c>
      <c r="C241" s="13" t="s">
        <v>524</v>
      </c>
      <c r="D241" s="10">
        <v>6</v>
      </c>
      <c r="E241" s="10">
        <v>0</v>
      </c>
      <c r="F241" s="10">
        <v>157</v>
      </c>
      <c r="G241" s="10">
        <v>1.7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0.1</v>
      </c>
      <c r="Q241" s="10">
        <v>0.1</v>
      </c>
      <c r="R241" s="10">
        <v>0.5</v>
      </c>
      <c r="S241" s="10">
        <v>7</v>
      </c>
      <c r="T241" s="10">
        <v>3</v>
      </c>
      <c r="U241" s="10">
        <v>14</v>
      </c>
      <c r="V241" s="10">
        <v>0</v>
      </c>
      <c r="W241" s="10">
        <v>0</v>
      </c>
      <c r="X241" s="10">
        <v>0</v>
      </c>
      <c r="Y241" s="10">
        <v>0</v>
      </c>
      <c r="Z241" s="10">
        <v>0.04</v>
      </c>
      <c r="AA241" s="10">
        <v>0.27</v>
      </c>
      <c r="AB241" s="10">
        <v>0.04</v>
      </c>
      <c r="AC241" s="10"/>
      <c r="AD241" s="2"/>
      <c r="AE241" s="1"/>
    </row>
    <row r="242" spans="1:31" hidden="1" x14ac:dyDescent="0.35">
      <c r="A242" s="15">
        <f>A241+1</f>
        <v>1002</v>
      </c>
      <c r="B242" s="16">
        <v>10</v>
      </c>
      <c r="C242" s="13" t="s">
        <v>504</v>
      </c>
      <c r="D242" s="10">
        <v>8</v>
      </c>
      <c r="E242" s="10">
        <v>8</v>
      </c>
      <c r="F242" s="10">
        <v>631</v>
      </c>
      <c r="G242" s="10">
        <v>7</v>
      </c>
      <c r="H242" s="10">
        <v>1</v>
      </c>
      <c r="I242" s="10">
        <v>2</v>
      </c>
      <c r="J242" s="10">
        <v>3</v>
      </c>
      <c r="K242" s="10">
        <v>1</v>
      </c>
      <c r="L242" s="10">
        <v>0</v>
      </c>
      <c r="M242" s="10">
        <v>0</v>
      </c>
      <c r="N242" s="10">
        <v>1</v>
      </c>
      <c r="O242" s="10">
        <v>0</v>
      </c>
      <c r="P242" s="10">
        <v>0.4</v>
      </c>
      <c r="Q242" s="10">
        <v>0.4</v>
      </c>
      <c r="R242" s="10">
        <v>1.6</v>
      </c>
      <c r="S242" s="10">
        <v>29</v>
      </c>
      <c r="T242" s="10">
        <v>45</v>
      </c>
      <c r="U242" s="10">
        <v>40</v>
      </c>
      <c r="V242" s="10">
        <v>0.14000000000000001</v>
      </c>
      <c r="W242" s="10">
        <v>0.28999999999999998</v>
      </c>
      <c r="X242" s="10">
        <v>0.43</v>
      </c>
      <c r="Y242" s="10">
        <v>0.14000000000000001</v>
      </c>
      <c r="Z242" s="10">
        <v>0.06</v>
      </c>
      <c r="AA242" s="10">
        <v>0.23</v>
      </c>
      <c r="AB242" s="10">
        <v>0.06</v>
      </c>
      <c r="AC242" s="10"/>
      <c r="AD242" s="2"/>
      <c r="AE242" s="1"/>
    </row>
    <row r="243" spans="1:31" hidden="1" x14ac:dyDescent="0.35">
      <c r="A243" s="15">
        <f t="shared" ref="A243:A265" si="9">A242+1</f>
        <v>1003</v>
      </c>
      <c r="B243" s="16">
        <v>10</v>
      </c>
      <c r="C243" s="13" t="s">
        <v>540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/>
      <c r="AD243" s="2"/>
      <c r="AE243" s="1"/>
    </row>
    <row r="244" spans="1:31" hidden="1" x14ac:dyDescent="0.35">
      <c r="A244" s="15">
        <f t="shared" si="9"/>
        <v>1004</v>
      </c>
      <c r="B244" s="16">
        <v>10</v>
      </c>
      <c r="C244" s="13" t="s">
        <v>532</v>
      </c>
      <c r="D244" s="10">
        <v>3</v>
      </c>
      <c r="E244" s="10">
        <v>0</v>
      </c>
      <c r="F244" s="10">
        <v>64</v>
      </c>
      <c r="G244" s="10">
        <v>0.7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4</v>
      </c>
      <c r="T244" s="10">
        <v>5</v>
      </c>
      <c r="U244" s="10">
        <v>10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0.04</v>
      </c>
      <c r="AB244" s="10">
        <v>0</v>
      </c>
      <c r="AC244" s="10"/>
      <c r="AD244" s="2"/>
      <c r="AE244" s="1"/>
    </row>
    <row r="245" spans="1:31" hidden="1" x14ac:dyDescent="0.35">
      <c r="A245" s="15">
        <f t="shared" si="9"/>
        <v>1005</v>
      </c>
      <c r="B245" s="16">
        <v>10</v>
      </c>
      <c r="C245" s="13" t="s">
        <v>538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/>
      <c r="AD245" s="2"/>
      <c r="AE245" s="1"/>
    </row>
    <row r="246" spans="1:31" hidden="1" x14ac:dyDescent="0.35">
      <c r="A246" s="15">
        <f t="shared" si="9"/>
        <v>1006</v>
      </c>
      <c r="B246" s="16">
        <v>10</v>
      </c>
      <c r="C246" s="13" t="s">
        <v>498</v>
      </c>
      <c r="D246" s="10">
        <v>8</v>
      </c>
      <c r="E246" s="10">
        <v>8</v>
      </c>
      <c r="F246" s="10">
        <v>720</v>
      </c>
      <c r="G246" s="10">
        <v>8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1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/>
      <c r="AD246" s="2"/>
      <c r="AE246" s="1"/>
    </row>
    <row r="247" spans="1:31" hidden="1" x14ac:dyDescent="0.35">
      <c r="A247" s="15">
        <f t="shared" si="9"/>
        <v>1007</v>
      </c>
      <c r="B247" s="16">
        <v>10</v>
      </c>
      <c r="C247" s="13" t="s">
        <v>496</v>
      </c>
      <c r="D247" s="10">
        <v>8</v>
      </c>
      <c r="E247" s="10">
        <v>7</v>
      </c>
      <c r="F247" s="10">
        <v>639</v>
      </c>
      <c r="G247" s="10">
        <v>7.1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2</v>
      </c>
      <c r="O247" s="10">
        <v>0</v>
      </c>
      <c r="P247" s="10">
        <v>0.2</v>
      </c>
      <c r="Q247" s="10">
        <v>0.2</v>
      </c>
      <c r="R247" s="10">
        <v>0</v>
      </c>
      <c r="S247" s="10">
        <v>10</v>
      </c>
      <c r="T247" s="10">
        <v>19</v>
      </c>
      <c r="U247" s="10">
        <v>2</v>
      </c>
      <c r="V247" s="10">
        <v>0</v>
      </c>
      <c r="W247" s="10">
        <v>0</v>
      </c>
      <c r="X247" s="10">
        <v>0</v>
      </c>
      <c r="Y247" s="10">
        <v>0</v>
      </c>
      <c r="Z247" s="10">
        <v>0.02</v>
      </c>
      <c r="AA247" s="10">
        <v>0</v>
      </c>
      <c r="AB247" s="10">
        <v>0.02</v>
      </c>
      <c r="AC247" s="10"/>
      <c r="AD247" s="2"/>
      <c r="AE247" s="1"/>
    </row>
    <row r="248" spans="1:31" hidden="1" x14ac:dyDescent="0.35">
      <c r="A248" s="15">
        <f t="shared" si="9"/>
        <v>1008</v>
      </c>
      <c r="B248" s="16">
        <v>10</v>
      </c>
      <c r="C248" s="13" t="s">
        <v>526</v>
      </c>
      <c r="D248" s="10">
        <v>8</v>
      </c>
      <c r="E248" s="10">
        <v>0</v>
      </c>
      <c r="F248" s="10">
        <v>158</v>
      </c>
      <c r="G248" s="10">
        <v>1.8</v>
      </c>
      <c r="H248" s="10">
        <v>1</v>
      </c>
      <c r="I248" s="10">
        <v>0</v>
      </c>
      <c r="J248" s="10">
        <v>1</v>
      </c>
      <c r="K248" s="10">
        <v>1</v>
      </c>
      <c r="L248" s="10">
        <v>0</v>
      </c>
      <c r="M248" s="10">
        <v>0</v>
      </c>
      <c r="N248" s="10">
        <v>0</v>
      </c>
      <c r="O248" s="10">
        <v>0</v>
      </c>
      <c r="P248" s="10">
        <v>0.8</v>
      </c>
      <c r="Q248" s="10">
        <v>0.8</v>
      </c>
      <c r="R248" s="10">
        <v>0</v>
      </c>
      <c r="S248" s="10">
        <v>2</v>
      </c>
      <c r="T248" s="10">
        <v>9</v>
      </c>
      <c r="U248" s="10">
        <v>11</v>
      </c>
      <c r="V248" s="10">
        <v>0.56999999999999995</v>
      </c>
      <c r="W248" s="10">
        <v>0</v>
      </c>
      <c r="X248" s="10">
        <v>0.56999999999999995</v>
      </c>
      <c r="Y248" s="10">
        <v>0.56999999999999995</v>
      </c>
      <c r="Z248" s="10">
        <v>0.45</v>
      </c>
      <c r="AA248" s="10">
        <v>0.02</v>
      </c>
      <c r="AB248" s="10">
        <v>0.45</v>
      </c>
      <c r="AC248" s="10"/>
      <c r="AD248" s="2"/>
      <c r="AE248" s="1"/>
    </row>
    <row r="249" spans="1:31" hidden="1" x14ac:dyDescent="0.35">
      <c r="A249" s="15">
        <f t="shared" si="9"/>
        <v>1009</v>
      </c>
      <c r="B249" s="16">
        <v>10</v>
      </c>
      <c r="C249" s="13" t="s">
        <v>541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/>
      <c r="AD249" s="2"/>
      <c r="AE249" s="1"/>
    </row>
    <row r="250" spans="1:31" hidden="1" x14ac:dyDescent="0.35">
      <c r="A250" s="15">
        <f t="shared" si="9"/>
        <v>1010</v>
      </c>
      <c r="B250" s="16">
        <v>10</v>
      </c>
      <c r="C250" s="13" t="s">
        <v>512</v>
      </c>
      <c r="D250" s="10">
        <v>8</v>
      </c>
      <c r="E250" s="10">
        <v>6</v>
      </c>
      <c r="F250" s="10">
        <v>520</v>
      </c>
      <c r="G250" s="10">
        <v>5.8</v>
      </c>
      <c r="H250" s="10">
        <v>1</v>
      </c>
      <c r="I250" s="10">
        <v>0</v>
      </c>
      <c r="J250" s="10">
        <v>1</v>
      </c>
      <c r="K250" s="10">
        <v>1</v>
      </c>
      <c r="L250" s="10">
        <v>0</v>
      </c>
      <c r="M250" s="10">
        <v>0</v>
      </c>
      <c r="N250" s="10">
        <v>1</v>
      </c>
      <c r="O250" s="10">
        <v>0</v>
      </c>
      <c r="P250" s="10">
        <v>0.9</v>
      </c>
      <c r="Q250" s="10">
        <v>0.9</v>
      </c>
      <c r="R250" s="10">
        <v>0.2</v>
      </c>
      <c r="S250" s="10">
        <v>6</v>
      </c>
      <c r="T250" s="10">
        <v>11</v>
      </c>
      <c r="U250" s="10">
        <v>38</v>
      </c>
      <c r="V250" s="10">
        <v>0.17</v>
      </c>
      <c r="W250" s="10">
        <v>0</v>
      </c>
      <c r="X250" s="10">
        <v>0.17</v>
      </c>
      <c r="Y250" s="10">
        <v>0.17</v>
      </c>
      <c r="Z250" s="10">
        <v>0.16</v>
      </c>
      <c r="AA250" s="10">
        <v>0.04</v>
      </c>
      <c r="AB250" s="10">
        <v>0.16</v>
      </c>
      <c r="AC250" s="10"/>
      <c r="AD250" s="2"/>
      <c r="AE250" s="1"/>
    </row>
    <row r="251" spans="1:31" hidden="1" x14ac:dyDescent="0.35">
      <c r="A251" s="15">
        <f t="shared" si="9"/>
        <v>1011</v>
      </c>
      <c r="B251" s="16">
        <v>10</v>
      </c>
      <c r="C251" s="13" t="s">
        <v>522</v>
      </c>
      <c r="D251" s="10">
        <v>2</v>
      </c>
      <c r="E251" s="10">
        <v>1</v>
      </c>
      <c r="F251" s="10">
        <v>134</v>
      </c>
      <c r="G251" s="10">
        <v>1.5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1</v>
      </c>
      <c r="O251" s="10">
        <v>0</v>
      </c>
      <c r="P251" s="10">
        <v>0</v>
      </c>
      <c r="Q251" s="10">
        <v>0</v>
      </c>
      <c r="R251" s="10">
        <v>0</v>
      </c>
      <c r="S251" s="10">
        <v>1</v>
      </c>
      <c r="T251" s="10">
        <v>5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/>
      <c r="AD251" s="2"/>
      <c r="AE251" s="1"/>
    </row>
    <row r="252" spans="1:31" hidden="1" x14ac:dyDescent="0.35">
      <c r="A252" s="15">
        <f t="shared" si="9"/>
        <v>1012</v>
      </c>
      <c r="B252" s="16">
        <v>10</v>
      </c>
      <c r="C252" s="13" t="s">
        <v>494</v>
      </c>
      <c r="D252" s="10">
        <v>8</v>
      </c>
      <c r="E252" s="10">
        <v>8</v>
      </c>
      <c r="F252" s="10">
        <v>671</v>
      </c>
      <c r="G252" s="10">
        <v>7.5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0.4</v>
      </c>
      <c r="Q252" s="10">
        <v>0.4</v>
      </c>
      <c r="R252" s="10">
        <v>0.7</v>
      </c>
      <c r="S252" s="10">
        <v>7</v>
      </c>
      <c r="T252" s="10">
        <v>28</v>
      </c>
      <c r="U252" s="10">
        <v>3</v>
      </c>
      <c r="V252" s="10">
        <v>0</v>
      </c>
      <c r="W252" s="10">
        <v>0</v>
      </c>
      <c r="X252" s="10">
        <v>0</v>
      </c>
      <c r="Y252" s="10">
        <v>0</v>
      </c>
      <c r="Z252" s="10">
        <v>0.06</v>
      </c>
      <c r="AA252" s="10">
        <v>0.09</v>
      </c>
      <c r="AB252" s="10">
        <v>0.06</v>
      </c>
      <c r="AC252" s="10"/>
      <c r="AD252" s="2"/>
      <c r="AE252" s="1"/>
    </row>
    <row r="253" spans="1:31" hidden="1" x14ac:dyDescent="0.35">
      <c r="A253" s="15">
        <f t="shared" si="9"/>
        <v>1013</v>
      </c>
      <c r="B253" s="16">
        <v>10</v>
      </c>
      <c r="C253" s="13" t="s">
        <v>536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/>
      <c r="AD253" s="2"/>
      <c r="AE253" s="1"/>
    </row>
    <row r="254" spans="1:31" hidden="1" x14ac:dyDescent="0.35">
      <c r="A254" s="15">
        <f t="shared" si="9"/>
        <v>1014</v>
      </c>
      <c r="B254" s="16">
        <v>10</v>
      </c>
      <c r="C254" s="13" t="s">
        <v>520</v>
      </c>
      <c r="D254" s="10">
        <v>3</v>
      </c>
      <c r="E254" s="10">
        <v>2</v>
      </c>
      <c r="F254" s="10">
        <v>169</v>
      </c>
      <c r="G254" s="10">
        <v>1.9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2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/>
      <c r="AD254" s="2"/>
      <c r="AE254" s="1"/>
    </row>
    <row r="255" spans="1:31" hidden="1" x14ac:dyDescent="0.35">
      <c r="A255" s="15">
        <f t="shared" si="9"/>
        <v>1015</v>
      </c>
      <c r="B255" s="16">
        <v>10</v>
      </c>
      <c r="C255" s="13" t="s">
        <v>506</v>
      </c>
      <c r="D255" s="10">
        <v>8</v>
      </c>
      <c r="E255" s="10">
        <v>8</v>
      </c>
      <c r="F255" s="10">
        <v>530</v>
      </c>
      <c r="G255" s="10">
        <v>5.9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2</v>
      </c>
      <c r="O255" s="10">
        <v>0</v>
      </c>
      <c r="P255" s="10">
        <v>0.8</v>
      </c>
      <c r="Q255" s="10">
        <v>0.8</v>
      </c>
      <c r="R255" s="10">
        <v>0.1</v>
      </c>
      <c r="S255" s="10">
        <v>16</v>
      </c>
      <c r="T255" s="10">
        <v>20</v>
      </c>
      <c r="U255" s="10">
        <v>31</v>
      </c>
      <c r="V255" s="10">
        <v>0</v>
      </c>
      <c r="W255" s="10">
        <v>0</v>
      </c>
      <c r="X255" s="10">
        <v>0</v>
      </c>
      <c r="Y255" s="10">
        <v>0</v>
      </c>
      <c r="Z255" s="10">
        <v>0.13</v>
      </c>
      <c r="AA255" s="10">
        <v>0.02</v>
      </c>
      <c r="AB255" s="10">
        <v>0.13</v>
      </c>
      <c r="AC255" s="10"/>
      <c r="AD255" s="2"/>
      <c r="AE255" s="1"/>
    </row>
    <row r="256" spans="1:31" hidden="1" x14ac:dyDescent="0.35">
      <c r="A256" s="15">
        <f t="shared" si="9"/>
        <v>1016</v>
      </c>
      <c r="B256" s="16">
        <v>10</v>
      </c>
      <c r="C256" s="13" t="s">
        <v>510</v>
      </c>
      <c r="D256" s="10">
        <v>5</v>
      </c>
      <c r="E256" s="10">
        <v>5</v>
      </c>
      <c r="F256" s="10">
        <v>450</v>
      </c>
      <c r="G256" s="10">
        <v>5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0.1</v>
      </c>
      <c r="Q256" s="10">
        <v>0.1</v>
      </c>
      <c r="R256" s="10">
        <v>0.1</v>
      </c>
      <c r="S256" s="10">
        <v>7</v>
      </c>
      <c r="T256" s="10">
        <v>24</v>
      </c>
      <c r="U256" s="10">
        <v>6</v>
      </c>
      <c r="V256" s="10">
        <v>0</v>
      </c>
      <c r="W256" s="10">
        <v>0</v>
      </c>
      <c r="X256" s="10">
        <v>0</v>
      </c>
      <c r="Y256" s="10">
        <v>0</v>
      </c>
      <c r="Z256" s="10">
        <v>0.01</v>
      </c>
      <c r="AA256" s="10">
        <v>0.03</v>
      </c>
      <c r="AB256" s="10">
        <v>0.01</v>
      </c>
      <c r="AC256" s="10"/>
      <c r="AD256" s="2"/>
      <c r="AE256" s="1"/>
    </row>
    <row r="257" spans="1:31" hidden="1" x14ac:dyDescent="0.35">
      <c r="A257" s="15">
        <f t="shared" si="9"/>
        <v>1017</v>
      </c>
      <c r="B257" s="16">
        <v>10</v>
      </c>
      <c r="C257" s="13" t="s">
        <v>530</v>
      </c>
      <c r="D257" s="10">
        <v>5</v>
      </c>
      <c r="E257" s="10">
        <v>0</v>
      </c>
      <c r="F257" s="10">
        <v>116</v>
      </c>
      <c r="G257" s="10">
        <v>1.3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1</v>
      </c>
      <c r="O257" s="10">
        <v>0</v>
      </c>
      <c r="P257" s="10">
        <v>0.1</v>
      </c>
      <c r="Q257" s="10">
        <v>0.1</v>
      </c>
      <c r="R257" s="10">
        <v>0.1</v>
      </c>
      <c r="S257" s="10">
        <v>6</v>
      </c>
      <c r="T257" s="10">
        <v>4</v>
      </c>
      <c r="U257" s="10">
        <v>15</v>
      </c>
      <c r="V257" s="10">
        <v>0</v>
      </c>
      <c r="W257" s="10">
        <v>0</v>
      </c>
      <c r="X257" s="10">
        <v>0</v>
      </c>
      <c r="Y257" s="10">
        <v>0</v>
      </c>
      <c r="Z257" s="10">
        <v>0.04</v>
      </c>
      <c r="AA257" s="10">
        <v>0.06</v>
      </c>
      <c r="AB257" s="10">
        <v>0.04</v>
      </c>
      <c r="AC257" s="10"/>
      <c r="AD257" s="2"/>
      <c r="AE257" s="1"/>
    </row>
    <row r="258" spans="1:31" hidden="1" x14ac:dyDescent="0.35">
      <c r="A258" s="15">
        <f t="shared" si="9"/>
        <v>1018</v>
      </c>
      <c r="B258" s="16">
        <v>10</v>
      </c>
      <c r="C258" s="13" t="s">
        <v>518</v>
      </c>
      <c r="D258" s="10">
        <v>7</v>
      </c>
      <c r="E258" s="10">
        <v>3</v>
      </c>
      <c r="F258" s="10">
        <v>234</v>
      </c>
      <c r="G258" s="10">
        <v>2.6</v>
      </c>
      <c r="H258" s="10">
        <v>1</v>
      </c>
      <c r="I258" s="10">
        <v>0</v>
      </c>
      <c r="J258" s="10">
        <v>1</v>
      </c>
      <c r="K258" s="10">
        <v>1</v>
      </c>
      <c r="L258" s="10">
        <v>0</v>
      </c>
      <c r="M258" s="10">
        <v>0</v>
      </c>
      <c r="N258" s="10">
        <v>0</v>
      </c>
      <c r="O258" s="10">
        <v>0</v>
      </c>
      <c r="P258" s="10">
        <v>0.5</v>
      </c>
      <c r="Q258" s="10">
        <v>0.5</v>
      </c>
      <c r="R258" s="10">
        <v>0</v>
      </c>
      <c r="S258" s="10">
        <v>1</v>
      </c>
      <c r="T258" s="10">
        <v>5</v>
      </c>
      <c r="U258" s="10">
        <v>8</v>
      </c>
      <c r="V258" s="10">
        <v>0.38</v>
      </c>
      <c r="W258" s="10">
        <v>0</v>
      </c>
      <c r="X258" s="10">
        <v>0.38</v>
      </c>
      <c r="Y258" s="10">
        <v>0.38</v>
      </c>
      <c r="Z258" s="10">
        <v>0.2</v>
      </c>
      <c r="AA258" s="10">
        <v>0</v>
      </c>
      <c r="AB258" s="10">
        <v>0.2</v>
      </c>
      <c r="AC258" s="10"/>
      <c r="AD258" s="2"/>
      <c r="AE258" s="1"/>
    </row>
    <row r="259" spans="1:31" hidden="1" x14ac:dyDescent="0.35">
      <c r="A259" s="15">
        <f t="shared" si="9"/>
        <v>1019</v>
      </c>
      <c r="B259" s="16">
        <v>10</v>
      </c>
      <c r="C259" s="13" t="s">
        <v>514</v>
      </c>
      <c r="D259" s="10">
        <v>5</v>
      </c>
      <c r="E259" s="10">
        <v>4</v>
      </c>
      <c r="F259" s="10">
        <v>316</v>
      </c>
      <c r="G259" s="10">
        <v>3.5</v>
      </c>
      <c r="H259" s="10">
        <v>1</v>
      </c>
      <c r="I259" s="10">
        <v>1</v>
      </c>
      <c r="J259" s="10">
        <v>2</v>
      </c>
      <c r="K259" s="10">
        <v>1</v>
      </c>
      <c r="L259" s="10">
        <v>0</v>
      </c>
      <c r="M259" s="10">
        <v>0</v>
      </c>
      <c r="N259" s="10">
        <v>1</v>
      </c>
      <c r="O259" s="10">
        <v>0</v>
      </c>
      <c r="P259" s="10">
        <v>0.9</v>
      </c>
      <c r="Q259" s="10">
        <v>0.9</v>
      </c>
      <c r="R259" s="10">
        <v>0.3</v>
      </c>
      <c r="S259" s="10">
        <v>0</v>
      </c>
      <c r="T259" s="10">
        <v>2</v>
      </c>
      <c r="U259" s="10">
        <v>7</v>
      </c>
      <c r="V259" s="10">
        <v>0.28000000000000003</v>
      </c>
      <c r="W259" s="10">
        <v>0.28000000000000003</v>
      </c>
      <c r="X259" s="10">
        <v>0.56999999999999995</v>
      </c>
      <c r="Y259" s="10">
        <v>0.28000000000000003</v>
      </c>
      <c r="Z259" s="10">
        <v>0.27</v>
      </c>
      <c r="AA259" s="10">
        <v>0.08</v>
      </c>
      <c r="AB259" s="10">
        <v>0.27</v>
      </c>
      <c r="AC259" s="10"/>
      <c r="AD259" s="2"/>
      <c r="AE259" s="1"/>
    </row>
    <row r="260" spans="1:31" hidden="1" x14ac:dyDescent="0.35">
      <c r="A260" s="15">
        <f t="shared" si="9"/>
        <v>1020</v>
      </c>
      <c r="B260" s="16">
        <v>10</v>
      </c>
      <c r="C260" s="13" t="s">
        <v>508</v>
      </c>
      <c r="D260" s="10">
        <v>7</v>
      </c>
      <c r="E260" s="10">
        <v>7</v>
      </c>
      <c r="F260" s="10">
        <v>566</v>
      </c>
      <c r="G260" s="10">
        <v>6.3</v>
      </c>
      <c r="H260" s="10">
        <v>1</v>
      </c>
      <c r="I260" s="10">
        <v>0</v>
      </c>
      <c r="J260" s="10">
        <v>1</v>
      </c>
      <c r="K260" s="10">
        <v>1</v>
      </c>
      <c r="L260" s="10">
        <v>0</v>
      </c>
      <c r="M260" s="10">
        <v>0</v>
      </c>
      <c r="N260" s="10">
        <v>0</v>
      </c>
      <c r="O260" s="10">
        <v>0</v>
      </c>
      <c r="P260" s="10">
        <v>0.5</v>
      </c>
      <c r="Q260" s="10">
        <v>0.5</v>
      </c>
      <c r="R260" s="10">
        <v>0.8</v>
      </c>
      <c r="S260" s="10">
        <v>16</v>
      </c>
      <c r="T260" s="10">
        <v>19</v>
      </c>
      <c r="U260" s="10">
        <v>34</v>
      </c>
      <c r="V260" s="10">
        <v>0.16</v>
      </c>
      <c r="W260" s="10">
        <v>0</v>
      </c>
      <c r="X260" s="10">
        <v>0.16</v>
      </c>
      <c r="Y260" s="10">
        <v>0.16</v>
      </c>
      <c r="Z260" s="10">
        <v>7.0000000000000007E-2</v>
      </c>
      <c r="AA260" s="10">
        <v>0.12</v>
      </c>
      <c r="AB260" s="10">
        <v>7.0000000000000007E-2</v>
      </c>
      <c r="AC260" s="10"/>
      <c r="AD260" s="2"/>
      <c r="AE260" s="1"/>
    </row>
    <row r="261" spans="1:31" hidden="1" x14ac:dyDescent="0.35">
      <c r="A261" s="15">
        <f t="shared" si="9"/>
        <v>1021</v>
      </c>
      <c r="B261" s="16">
        <v>10</v>
      </c>
      <c r="C261" s="13" t="s">
        <v>534</v>
      </c>
      <c r="D261" s="10">
        <v>2</v>
      </c>
      <c r="E261" s="10">
        <v>0</v>
      </c>
      <c r="F261" s="10">
        <v>35</v>
      </c>
      <c r="G261" s="10">
        <v>0.4</v>
      </c>
      <c r="H261" s="10">
        <v>0</v>
      </c>
      <c r="I261" s="10">
        <v>1</v>
      </c>
      <c r="J261" s="10">
        <v>1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0.2</v>
      </c>
      <c r="Q261" s="10">
        <v>0.2</v>
      </c>
      <c r="R261" s="10">
        <v>0.5</v>
      </c>
      <c r="S261" s="10">
        <v>3</v>
      </c>
      <c r="T261" s="10">
        <v>1</v>
      </c>
      <c r="U261" s="10">
        <v>6</v>
      </c>
      <c r="V261" s="10">
        <v>0</v>
      </c>
      <c r="W261" s="10">
        <v>2.57</v>
      </c>
      <c r="X261" s="10">
        <v>2.57</v>
      </c>
      <c r="Y261" s="10">
        <v>0</v>
      </c>
      <c r="Z261" s="10">
        <v>0.46</v>
      </c>
      <c r="AA261" s="10">
        <v>1.17</v>
      </c>
      <c r="AB261" s="10">
        <v>0.46</v>
      </c>
      <c r="AC261" s="10"/>
      <c r="AD261" s="2"/>
      <c r="AE261" s="1"/>
    </row>
    <row r="262" spans="1:31" hidden="1" x14ac:dyDescent="0.35">
      <c r="A262" s="15">
        <f t="shared" si="9"/>
        <v>1022</v>
      </c>
      <c r="B262" s="16">
        <v>10</v>
      </c>
      <c r="C262" s="13" t="s">
        <v>500</v>
      </c>
      <c r="D262" s="10">
        <v>8</v>
      </c>
      <c r="E262" s="10">
        <v>8</v>
      </c>
      <c r="F262" s="10">
        <v>688</v>
      </c>
      <c r="G262" s="10">
        <v>7.6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1</v>
      </c>
      <c r="O262" s="10">
        <v>0</v>
      </c>
      <c r="P262" s="10">
        <v>0.4</v>
      </c>
      <c r="Q262" s="10">
        <v>0.4</v>
      </c>
      <c r="R262" s="10">
        <v>0.3</v>
      </c>
      <c r="S262" s="10">
        <v>9</v>
      </c>
      <c r="T262" s="10">
        <v>32</v>
      </c>
      <c r="U262" s="10">
        <v>4</v>
      </c>
      <c r="V262" s="10">
        <v>0</v>
      </c>
      <c r="W262" s="10">
        <v>0</v>
      </c>
      <c r="X262" s="10">
        <v>0</v>
      </c>
      <c r="Y262" s="10">
        <v>0</v>
      </c>
      <c r="Z262" s="10">
        <v>0.05</v>
      </c>
      <c r="AA262" s="10">
        <v>0.04</v>
      </c>
      <c r="AB262" s="10">
        <v>0.05</v>
      </c>
      <c r="AC262" s="10"/>
      <c r="AD262" s="5"/>
      <c r="AE262" s="1"/>
    </row>
    <row r="263" spans="1:31" hidden="1" x14ac:dyDescent="0.35">
      <c r="A263" s="15">
        <f t="shared" si="9"/>
        <v>1023</v>
      </c>
      <c r="B263" s="16">
        <v>10</v>
      </c>
      <c r="C263" s="13" t="s">
        <v>502</v>
      </c>
      <c r="D263" s="10">
        <v>7</v>
      </c>
      <c r="E263" s="10">
        <v>7</v>
      </c>
      <c r="F263" s="10">
        <v>548</v>
      </c>
      <c r="G263" s="10">
        <v>6.1</v>
      </c>
      <c r="H263" s="10">
        <v>0</v>
      </c>
      <c r="I263" s="10">
        <v>1</v>
      </c>
      <c r="J263" s="10">
        <v>1</v>
      </c>
      <c r="K263" s="10">
        <v>0</v>
      </c>
      <c r="L263" s="10">
        <v>0</v>
      </c>
      <c r="M263" s="10">
        <v>0</v>
      </c>
      <c r="N263" s="10">
        <v>4</v>
      </c>
      <c r="O263" s="10">
        <v>0</v>
      </c>
      <c r="P263" s="10">
        <v>1</v>
      </c>
      <c r="Q263" s="10">
        <v>1</v>
      </c>
      <c r="R263" s="10">
        <v>1</v>
      </c>
      <c r="S263" s="10">
        <v>12</v>
      </c>
      <c r="T263" s="10">
        <v>18</v>
      </c>
      <c r="U263" s="10">
        <v>18</v>
      </c>
      <c r="V263" s="10">
        <v>0</v>
      </c>
      <c r="W263" s="10">
        <v>0.16</v>
      </c>
      <c r="X263" s="10">
        <v>0.16</v>
      </c>
      <c r="Y263" s="10">
        <v>0</v>
      </c>
      <c r="Z263" s="10">
        <v>0.16</v>
      </c>
      <c r="AA263" s="10">
        <v>0.17</v>
      </c>
      <c r="AB263" s="10">
        <v>0.16</v>
      </c>
      <c r="AC263" s="10"/>
      <c r="AD263" s="5"/>
      <c r="AE263" s="1"/>
    </row>
    <row r="264" spans="1:31" hidden="1" x14ac:dyDescent="0.35">
      <c r="A264" s="15">
        <f t="shared" si="9"/>
        <v>1024</v>
      </c>
      <c r="B264" s="16">
        <v>10</v>
      </c>
      <c r="C264" s="13" t="s">
        <v>516</v>
      </c>
      <c r="D264" s="10">
        <v>6</v>
      </c>
      <c r="E264" s="10">
        <v>5</v>
      </c>
      <c r="F264" s="10">
        <v>397</v>
      </c>
      <c r="G264" s="10">
        <v>4.4000000000000004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0.4</v>
      </c>
      <c r="Q264" s="10">
        <v>0.4</v>
      </c>
      <c r="R264" s="10">
        <v>0.2</v>
      </c>
      <c r="S264" s="10">
        <v>5</v>
      </c>
      <c r="T264" s="10">
        <v>9</v>
      </c>
      <c r="U264" s="10">
        <v>20</v>
      </c>
      <c r="V264" s="10">
        <v>0</v>
      </c>
      <c r="W264" s="10">
        <v>0</v>
      </c>
      <c r="X264" s="10">
        <v>0</v>
      </c>
      <c r="Y264" s="10">
        <v>0</v>
      </c>
      <c r="Z264" s="10">
        <v>0.1</v>
      </c>
      <c r="AA264" s="10">
        <v>0.04</v>
      </c>
      <c r="AB264" s="10">
        <v>0.1</v>
      </c>
      <c r="AC264" s="10"/>
      <c r="AD264" s="5"/>
      <c r="AE264" s="1"/>
    </row>
    <row r="265" spans="1:31" hidden="1" x14ac:dyDescent="0.35">
      <c r="A265" s="15">
        <f t="shared" si="9"/>
        <v>1025</v>
      </c>
      <c r="B265" s="16">
        <v>10</v>
      </c>
      <c r="C265" s="13" t="s">
        <v>528</v>
      </c>
      <c r="D265" s="10">
        <v>5</v>
      </c>
      <c r="E265" s="10">
        <v>1</v>
      </c>
      <c r="F265" s="10">
        <v>177</v>
      </c>
      <c r="G265" s="10">
        <v>2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1</v>
      </c>
      <c r="O265" s="10">
        <v>0</v>
      </c>
      <c r="P265" s="10">
        <v>0.3</v>
      </c>
      <c r="Q265" s="10">
        <v>0.3</v>
      </c>
      <c r="R265" s="10">
        <v>0</v>
      </c>
      <c r="S265" s="10">
        <v>2</v>
      </c>
      <c r="T265" s="10">
        <v>12</v>
      </c>
      <c r="U265" s="10">
        <v>2</v>
      </c>
      <c r="V265" s="10">
        <v>0</v>
      </c>
      <c r="W265" s="10">
        <v>0</v>
      </c>
      <c r="X265" s="10">
        <v>0</v>
      </c>
      <c r="Y265" s="10">
        <v>0</v>
      </c>
      <c r="Z265" s="10">
        <v>0.15</v>
      </c>
      <c r="AA265" s="10">
        <v>0.01</v>
      </c>
      <c r="AB265" s="10">
        <v>0.15</v>
      </c>
      <c r="AC265" s="10"/>
      <c r="AD265" s="2"/>
      <c r="AE265" s="1"/>
    </row>
    <row r="266" spans="1:31" hidden="1" x14ac:dyDescent="0.35">
      <c r="A266" s="15">
        <v>1101</v>
      </c>
      <c r="B266" s="16">
        <v>11</v>
      </c>
      <c r="C266" s="13" t="s">
        <v>552</v>
      </c>
      <c r="D266" s="10">
        <v>8</v>
      </c>
      <c r="E266" s="10">
        <v>8</v>
      </c>
      <c r="F266" s="10">
        <v>678</v>
      </c>
      <c r="G266" s="10">
        <v>7.5</v>
      </c>
      <c r="H266" s="10">
        <v>1</v>
      </c>
      <c r="I266" s="10">
        <v>1</v>
      </c>
      <c r="J266" s="10">
        <v>2</v>
      </c>
      <c r="K266" s="10">
        <v>1</v>
      </c>
      <c r="L266" s="10">
        <v>0</v>
      </c>
      <c r="M266" s="10">
        <v>0</v>
      </c>
      <c r="N266" s="10">
        <v>1</v>
      </c>
      <c r="O266" s="10">
        <v>0</v>
      </c>
      <c r="P266" s="10">
        <v>0.8</v>
      </c>
      <c r="Q266" s="10">
        <v>0.8</v>
      </c>
      <c r="R266" s="10">
        <v>1</v>
      </c>
      <c r="S266" s="10">
        <v>12</v>
      </c>
      <c r="T266" s="10">
        <v>40</v>
      </c>
      <c r="U266" s="10">
        <v>22</v>
      </c>
      <c r="V266" s="10">
        <v>0.13</v>
      </c>
      <c r="W266" s="10">
        <v>0.13</v>
      </c>
      <c r="X266" s="10">
        <v>0.27</v>
      </c>
      <c r="Y266" s="10">
        <v>0.13</v>
      </c>
      <c r="Z266" s="10">
        <v>0.11</v>
      </c>
      <c r="AA266" s="10">
        <v>0.13</v>
      </c>
      <c r="AB266" s="10">
        <v>0.11</v>
      </c>
      <c r="AC266" s="10"/>
      <c r="AD266" s="2"/>
      <c r="AE266" s="1"/>
    </row>
    <row r="267" spans="1:31" hidden="1" x14ac:dyDescent="0.35">
      <c r="A267" s="15">
        <f>A266+1</f>
        <v>1102</v>
      </c>
      <c r="B267" s="16">
        <v>11</v>
      </c>
      <c r="C267" s="13" t="s">
        <v>574</v>
      </c>
      <c r="D267" s="10">
        <v>6</v>
      </c>
      <c r="E267" s="10">
        <v>2</v>
      </c>
      <c r="F267" s="10">
        <v>192</v>
      </c>
      <c r="G267" s="10">
        <v>2.1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0.1</v>
      </c>
      <c r="Q267" s="10">
        <v>0.1</v>
      </c>
      <c r="R267" s="10">
        <v>0.2</v>
      </c>
      <c r="S267" s="10">
        <v>2</v>
      </c>
      <c r="T267" s="10">
        <v>12</v>
      </c>
      <c r="U267" s="10">
        <v>2</v>
      </c>
      <c r="V267" s="10">
        <v>0</v>
      </c>
      <c r="W267" s="10">
        <v>0</v>
      </c>
      <c r="X267" s="10">
        <v>0</v>
      </c>
      <c r="Y267" s="10">
        <v>0</v>
      </c>
      <c r="Z267" s="10">
        <v>0.05</v>
      </c>
      <c r="AA267" s="10">
        <v>0.09</v>
      </c>
      <c r="AB267" s="10">
        <v>0.05</v>
      </c>
      <c r="AC267" s="10"/>
      <c r="AD267" s="2"/>
      <c r="AE267" s="1"/>
    </row>
    <row r="268" spans="1:31" hidden="1" x14ac:dyDescent="0.35">
      <c r="A268" s="15">
        <f t="shared" ref="A268:A291" si="10">A267+1</f>
        <v>1103</v>
      </c>
      <c r="B268" s="16">
        <v>11</v>
      </c>
      <c r="C268" s="13" t="s">
        <v>558</v>
      </c>
      <c r="D268" s="10">
        <v>8</v>
      </c>
      <c r="E268" s="10">
        <v>5</v>
      </c>
      <c r="F268" s="10">
        <v>462</v>
      </c>
      <c r="G268" s="10">
        <v>5.0999999999999996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1</v>
      </c>
      <c r="O268" s="10">
        <v>0</v>
      </c>
      <c r="P268" s="10">
        <v>1.1000000000000001</v>
      </c>
      <c r="Q268" s="10">
        <v>1.1000000000000001</v>
      </c>
      <c r="R268" s="10">
        <v>0.9</v>
      </c>
      <c r="S268" s="10">
        <v>10</v>
      </c>
      <c r="T268" s="10">
        <v>15</v>
      </c>
      <c r="U268" s="10">
        <v>28</v>
      </c>
      <c r="V268" s="10">
        <v>0</v>
      </c>
      <c r="W268" s="10">
        <v>0</v>
      </c>
      <c r="X268" s="10">
        <v>0</v>
      </c>
      <c r="Y268" s="10">
        <v>0</v>
      </c>
      <c r="Z268" s="10">
        <v>0.21</v>
      </c>
      <c r="AA268" s="10">
        <v>0.18</v>
      </c>
      <c r="AB268" s="10">
        <v>0.21</v>
      </c>
      <c r="AC268" s="10"/>
      <c r="AD268" s="2"/>
      <c r="AE268" s="1"/>
    </row>
    <row r="269" spans="1:31" hidden="1" x14ac:dyDescent="0.35">
      <c r="A269" s="15">
        <f t="shared" si="10"/>
        <v>1104</v>
      </c>
      <c r="B269" s="16">
        <v>11</v>
      </c>
      <c r="C269" s="13" t="s">
        <v>568</v>
      </c>
      <c r="D269" s="10">
        <v>5</v>
      </c>
      <c r="E269" s="10">
        <v>3</v>
      </c>
      <c r="F269" s="10">
        <v>238</v>
      </c>
      <c r="G269" s="10">
        <v>2.6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0.4</v>
      </c>
      <c r="Q269" s="10">
        <v>0.4</v>
      </c>
      <c r="R269" s="10">
        <v>0.4</v>
      </c>
      <c r="S269" s="10">
        <v>15</v>
      </c>
      <c r="T269" s="10">
        <v>6</v>
      </c>
      <c r="U269" s="10">
        <v>24</v>
      </c>
      <c r="V269" s="10">
        <v>0</v>
      </c>
      <c r="W269" s="10">
        <v>0</v>
      </c>
      <c r="X269" s="10">
        <v>0</v>
      </c>
      <c r="Y269" s="10">
        <v>0</v>
      </c>
      <c r="Z269" s="10">
        <v>0.16</v>
      </c>
      <c r="AA269" s="10">
        <v>0.16</v>
      </c>
      <c r="AB269" s="10">
        <v>0.16</v>
      </c>
      <c r="AC269" s="10"/>
      <c r="AD269" s="2"/>
      <c r="AE269" s="1"/>
    </row>
    <row r="270" spans="1:31" hidden="1" x14ac:dyDescent="0.35">
      <c r="A270" s="15">
        <f t="shared" si="10"/>
        <v>1105</v>
      </c>
      <c r="B270" s="16">
        <v>11</v>
      </c>
      <c r="C270" s="13" t="s">
        <v>562</v>
      </c>
      <c r="D270" s="10">
        <v>6</v>
      </c>
      <c r="E270" s="10">
        <v>5</v>
      </c>
      <c r="F270" s="10">
        <v>447</v>
      </c>
      <c r="G270" s="10">
        <v>5</v>
      </c>
      <c r="H270" s="10">
        <v>1</v>
      </c>
      <c r="I270" s="10">
        <v>0</v>
      </c>
      <c r="J270" s="10">
        <v>1</v>
      </c>
      <c r="K270" s="10">
        <v>1</v>
      </c>
      <c r="L270" s="10">
        <v>0</v>
      </c>
      <c r="M270" s="10">
        <v>0</v>
      </c>
      <c r="N270" s="10">
        <v>0</v>
      </c>
      <c r="O270" s="10">
        <v>0</v>
      </c>
      <c r="P270" s="10">
        <v>1.7</v>
      </c>
      <c r="Q270" s="10">
        <v>1.7</v>
      </c>
      <c r="R270" s="10">
        <v>0.8</v>
      </c>
      <c r="S270" s="10">
        <v>4</v>
      </c>
      <c r="T270" s="10">
        <v>7</v>
      </c>
      <c r="U270" s="10">
        <v>21</v>
      </c>
      <c r="V270" s="10">
        <v>0.2</v>
      </c>
      <c r="W270" s="10">
        <v>0</v>
      </c>
      <c r="X270" s="10">
        <v>0.2</v>
      </c>
      <c r="Y270" s="10">
        <v>0.2</v>
      </c>
      <c r="Z270" s="10">
        <v>0.34</v>
      </c>
      <c r="AA270" s="10">
        <v>0.17</v>
      </c>
      <c r="AB270" s="10">
        <v>0.34</v>
      </c>
      <c r="AC270" s="10"/>
      <c r="AD270" s="2"/>
      <c r="AE270" s="1"/>
    </row>
    <row r="271" spans="1:31" hidden="1" x14ac:dyDescent="0.35">
      <c r="A271" s="15">
        <f t="shared" si="10"/>
        <v>1106</v>
      </c>
      <c r="B271" s="16">
        <v>11</v>
      </c>
      <c r="C271" s="13" t="s">
        <v>556</v>
      </c>
      <c r="D271" s="10">
        <v>6</v>
      </c>
      <c r="E271" s="10">
        <v>6</v>
      </c>
      <c r="F271" s="10">
        <v>517</v>
      </c>
      <c r="G271" s="10">
        <v>5.7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2</v>
      </c>
      <c r="O271" s="10">
        <v>0</v>
      </c>
      <c r="P271" s="10">
        <v>0.1</v>
      </c>
      <c r="Q271" s="10">
        <v>0.1</v>
      </c>
      <c r="R271" s="10">
        <v>0</v>
      </c>
      <c r="S271" s="10">
        <v>8</v>
      </c>
      <c r="T271" s="10">
        <v>24</v>
      </c>
      <c r="U271" s="10">
        <v>7</v>
      </c>
      <c r="V271" s="10">
        <v>0</v>
      </c>
      <c r="W271" s="10">
        <v>0</v>
      </c>
      <c r="X271" s="10">
        <v>0</v>
      </c>
      <c r="Y271" s="10">
        <v>0</v>
      </c>
      <c r="Z271" s="10">
        <v>0.02</v>
      </c>
      <c r="AA271" s="10">
        <v>0.01</v>
      </c>
      <c r="AB271" s="10">
        <v>0.02</v>
      </c>
      <c r="AC271" s="10"/>
      <c r="AD271" s="2"/>
      <c r="AE271" s="1"/>
    </row>
    <row r="272" spans="1:31" hidden="1" x14ac:dyDescent="0.35">
      <c r="A272" s="15">
        <f t="shared" si="10"/>
        <v>1107</v>
      </c>
      <c r="B272" s="16">
        <v>11</v>
      </c>
      <c r="C272" s="13" t="s">
        <v>550</v>
      </c>
      <c r="D272" s="10">
        <v>8</v>
      </c>
      <c r="E272" s="10">
        <v>8</v>
      </c>
      <c r="F272" s="10">
        <v>697</v>
      </c>
      <c r="G272" s="10">
        <v>7.7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1</v>
      </c>
      <c r="O272" s="10">
        <v>0</v>
      </c>
      <c r="P272" s="10">
        <v>0.2</v>
      </c>
      <c r="Q272" s="10">
        <v>0.2</v>
      </c>
      <c r="R272" s="10">
        <v>1.2</v>
      </c>
      <c r="S272" s="10">
        <v>23</v>
      </c>
      <c r="T272" s="10">
        <v>24</v>
      </c>
      <c r="U272" s="10">
        <v>29</v>
      </c>
      <c r="V272" s="10">
        <v>0</v>
      </c>
      <c r="W272" s="10">
        <v>0</v>
      </c>
      <c r="X272" s="10">
        <v>0</v>
      </c>
      <c r="Y272" s="10">
        <v>0</v>
      </c>
      <c r="Z272" s="10">
        <v>0.02</v>
      </c>
      <c r="AA272" s="10">
        <v>0.16</v>
      </c>
      <c r="AB272" s="10">
        <v>0.02</v>
      </c>
      <c r="AC272" s="10"/>
      <c r="AD272" s="2"/>
      <c r="AE272" s="1"/>
    </row>
    <row r="273" spans="1:31" hidden="1" x14ac:dyDescent="0.35">
      <c r="A273" s="15">
        <f t="shared" si="10"/>
        <v>1108</v>
      </c>
      <c r="B273" s="16">
        <v>11</v>
      </c>
      <c r="C273" s="13" t="s">
        <v>590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/>
      <c r="AD273" s="2"/>
      <c r="AE273" s="1"/>
    </row>
    <row r="274" spans="1:31" hidden="1" x14ac:dyDescent="0.35">
      <c r="A274" s="15">
        <f t="shared" si="10"/>
        <v>1109</v>
      </c>
      <c r="B274" s="16">
        <v>11</v>
      </c>
      <c r="C274" s="13" t="s">
        <v>572</v>
      </c>
      <c r="D274" s="10">
        <v>4</v>
      </c>
      <c r="E274" s="10">
        <v>2</v>
      </c>
      <c r="F274" s="10">
        <v>194</v>
      </c>
      <c r="G274" s="10">
        <v>2.2000000000000002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6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/>
      <c r="AD274" s="2"/>
      <c r="AE274" s="1"/>
    </row>
    <row r="275" spans="1:31" hidden="1" x14ac:dyDescent="0.35">
      <c r="A275" s="15">
        <f t="shared" si="10"/>
        <v>1110</v>
      </c>
      <c r="B275" s="16">
        <v>11</v>
      </c>
      <c r="C275" s="13" t="s">
        <v>592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/>
      <c r="AD275" s="2"/>
      <c r="AE275" s="1"/>
    </row>
    <row r="276" spans="1:31" hidden="1" x14ac:dyDescent="0.35">
      <c r="A276" s="15">
        <f t="shared" si="10"/>
        <v>1111</v>
      </c>
      <c r="B276" s="16">
        <v>11</v>
      </c>
      <c r="C276" s="13" t="s">
        <v>580</v>
      </c>
      <c r="D276" s="10">
        <v>7</v>
      </c>
      <c r="E276" s="10">
        <v>1</v>
      </c>
      <c r="F276" s="10">
        <v>200</v>
      </c>
      <c r="G276" s="10">
        <v>2.2000000000000002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0.2</v>
      </c>
      <c r="Q276" s="10">
        <v>0.2</v>
      </c>
      <c r="R276" s="10">
        <v>0.3</v>
      </c>
      <c r="S276" s="10">
        <v>8</v>
      </c>
      <c r="T276" s="10">
        <v>7</v>
      </c>
      <c r="U276" s="10">
        <v>16</v>
      </c>
      <c r="V276" s="10">
        <v>0</v>
      </c>
      <c r="W276" s="10">
        <v>0</v>
      </c>
      <c r="X276" s="10">
        <v>0</v>
      </c>
      <c r="Y276" s="10">
        <v>0</v>
      </c>
      <c r="Z276" s="10">
        <v>0.09</v>
      </c>
      <c r="AA276" s="10">
        <v>0.14000000000000001</v>
      </c>
      <c r="AB276" s="10">
        <v>0.09</v>
      </c>
      <c r="AC276" s="10"/>
      <c r="AD276" s="2"/>
      <c r="AE276" s="1"/>
    </row>
    <row r="277" spans="1:31" hidden="1" x14ac:dyDescent="0.35">
      <c r="A277" s="15">
        <f t="shared" si="10"/>
        <v>1112</v>
      </c>
      <c r="B277" s="16">
        <v>11</v>
      </c>
      <c r="C277" s="13" t="s">
        <v>586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/>
      <c r="AD277" s="2"/>
      <c r="AE277" s="1"/>
    </row>
    <row r="278" spans="1:31" hidden="1" x14ac:dyDescent="0.35">
      <c r="A278" s="15">
        <f t="shared" si="10"/>
        <v>1113</v>
      </c>
      <c r="B278" s="16">
        <v>11</v>
      </c>
      <c r="C278" s="13" t="s">
        <v>582</v>
      </c>
      <c r="D278" s="10">
        <v>3</v>
      </c>
      <c r="E278" s="10">
        <v>0</v>
      </c>
      <c r="F278" s="10">
        <v>21</v>
      </c>
      <c r="G278" s="10">
        <v>0.2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/>
      <c r="AD278" s="2"/>
      <c r="AE278" s="1"/>
    </row>
    <row r="279" spans="1:31" hidden="1" x14ac:dyDescent="0.35">
      <c r="A279" s="15">
        <f t="shared" si="10"/>
        <v>1114</v>
      </c>
      <c r="B279" s="16">
        <v>11</v>
      </c>
      <c r="C279" s="13" t="s">
        <v>548</v>
      </c>
      <c r="D279" s="10">
        <v>8</v>
      </c>
      <c r="E279" s="10">
        <v>8</v>
      </c>
      <c r="F279" s="10">
        <v>702</v>
      </c>
      <c r="G279" s="10">
        <v>7.8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2</v>
      </c>
      <c r="O279" s="10">
        <v>0</v>
      </c>
      <c r="P279" s="10">
        <v>0.7</v>
      </c>
      <c r="Q279" s="10">
        <v>0.7</v>
      </c>
      <c r="R279" s="10">
        <v>0.1</v>
      </c>
      <c r="S279" s="10">
        <v>22</v>
      </c>
      <c r="T279" s="10">
        <v>22</v>
      </c>
      <c r="U279" s="10">
        <v>37</v>
      </c>
      <c r="V279" s="10">
        <v>0</v>
      </c>
      <c r="W279" s="10">
        <v>0</v>
      </c>
      <c r="X279" s="10">
        <v>0</v>
      </c>
      <c r="Y279" s="10">
        <v>0</v>
      </c>
      <c r="Z279" s="10">
        <v>0.08</v>
      </c>
      <c r="AA279" s="10">
        <v>0.01</v>
      </c>
      <c r="AB279" s="10">
        <v>0.08</v>
      </c>
      <c r="AC279" s="10"/>
      <c r="AD279" s="2"/>
      <c r="AE279" s="1"/>
    </row>
    <row r="280" spans="1:31" hidden="1" x14ac:dyDescent="0.35">
      <c r="A280" s="15">
        <f t="shared" si="10"/>
        <v>1115</v>
      </c>
      <c r="B280" s="16">
        <v>11</v>
      </c>
      <c r="C280" s="13" t="s">
        <v>544</v>
      </c>
      <c r="D280" s="10">
        <v>8</v>
      </c>
      <c r="E280" s="10">
        <v>8</v>
      </c>
      <c r="F280" s="10">
        <v>720</v>
      </c>
      <c r="G280" s="10">
        <v>8</v>
      </c>
      <c r="H280" s="10">
        <v>1</v>
      </c>
      <c r="I280" s="10">
        <v>0</v>
      </c>
      <c r="J280" s="10">
        <v>1</v>
      </c>
      <c r="K280" s="10">
        <v>1</v>
      </c>
      <c r="L280" s="10">
        <v>0</v>
      </c>
      <c r="M280" s="10">
        <v>0</v>
      </c>
      <c r="N280" s="10">
        <v>0</v>
      </c>
      <c r="O280" s="10">
        <v>0</v>
      </c>
      <c r="P280" s="10">
        <v>0.4</v>
      </c>
      <c r="Q280" s="10">
        <v>0.4</v>
      </c>
      <c r="R280" s="10">
        <v>0</v>
      </c>
      <c r="S280" s="10">
        <v>6</v>
      </c>
      <c r="T280" s="10">
        <v>38</v>
      </c>
      <c r="U280" s="10">
        <v>0</v>
      </c>
      <c r="V280" s="10">
        <v>0.12</v>
      </c>
      <c r="W280" s="10">
        <v>0</v>
      </c>
      <c r="X280" s="10">
        <v>0.12</v>
      </c>
      <c r="Y280" s="10">
        <v>0.12</v>
      </c>
      <c r="Z280" s="10">
        <v>0.05</v>
      </c>
      <c r="AA280" s="10">
        <v>0.01</v>
      </c>
      <c r="AB280" s="10">
        <v>0.05</v>
      </c>
      <c r="AC280" s="10"/>
      <c r="AD280" s="2"/>
      <c r="AE280" s="1"/>
    </row>
    <row r="281" spans="1:31" hidden="1" x14ac:dyDescent="0.35">
      <c r="A281" s="15">
        <f t="shared" si="10"/>
        <v>1116</v>
      </c>
      <c r="B281" s="16">
        <v>11</v>
      </c>
      <c r="C281" s="13" t="s">
        <v>576</v>
      </c>
      <c r="D281" s="10">
        <v>4</v>
      </c>
      <c r="E281" s="10">
        <v>2</v>
      </c>
      <c r="F281" s="10">
        <v>164</v>
      </c>
      <c r="G281" s="10">
        <v>1.8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0.6</v>
      </c>
      <c r="Q281" s="10">
        <v>0.6</v>
      </c>
      <c r="R281" s="10">
        <v>0</v>
      </c>
      <c r="S281" s="10">
        <v>1</v>
      </c>
      <c r="T281" s="10">
        <v>1</v>
      </c>
      <c r="U281" s="10">
        <v>6</v>
      </c>
      <c r="V281" s="10">
        <v>0</v>
      </c>
      <c r="W281" s="10">
        <v>0</v>
      </c>
      <c r="X281" s="10">
        <v>0</v>
      </c>
      <c r="Y281" s="10">
        <v>0</v>
      </c>
      <c r="Z281" s="10">
        <v>0.31</v>
      </c>
      <c r="AA281" s="10">
        <v>0</v>
      </c>
      <c r="AB281" s="10">
        <v>0.31</v>
      </c>
      <c r="AC281" s="10"/>
      <c r="AD281" s="2"/>
      <c r="AE281" s="1"/>
    </row>
    <row r="282" spans="1:31" hidden="1" x14ac:dyDescent="0.35">
      <c r="A282" s="15">
        <f t="shared" si="10"/>
        <v>1117</v>
      </c>
      <c r="B282" s="16">
        <v>11</v>
      </c>
      <c r="C282" s="13" t="s">
        <v>560</v>
      </c>
      <c r="D282" s="10">
        <v>5</v>
      </c>
      <c r="E282" s="10">
        <v>5</v>
      </c>
      <c r="F282" s="10">
        <v>450</v>
      </c>
      <c r="G282" s="10">
        <v>5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1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/>
      <c r="AD282" s="2"/>
      <c r="AE282" s="1"/>
    </row>
    <row r="283" spans="1:31" hidden="1" x14ac:dyDescent="0.35">
      <c r="A283" s="15">
        <f t="shared" si="10"/>
        <v>1118</v>
      </c>
      <c r="B283" s="16">
        <v>11</v>
      </c>
      <c r="C283" s="13" t="s">
        <v>594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/>
      <c r="AD283" s="2"/>
      <c r="AE283" s="1"/>
    </row>
    <row r="284" spans="1:31" hidden="1" x14ac:dyDescent="0.35">
      <c r="A284" s="15">
        <f t="shared" si="10"/>
        <v>1119</v>
      </c>
      <c r="B284" s="16">
        <v>11</v>
      </c>
      <c r="C284" s="13" t="s">
        <v>566</v>
      </c>
      <c r="D284" s="10">
        <v>3</v>
      </c>
      <c r="E284" s="10">
        <v>3</v>
      </c>
      <c r="F284" s="10">
        <v>270</v>
      </c>
      <c r="G284" s="10">
        <v>3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/>
      <c r="AD284" s="2"/>
      <c r="AE284" s="1"/>
    </row>
    <row r="285" spans="1:31" hidden="1" x14ac:dyDescent="0.35">
      <c r="A285" s="15">
        <f t="shared" si="10"/>
        <v>1120</v>
      </c>
      <c r="B285" s="16">
        <v>11</v>
      </c>
      <c r="C285" s="13" t="s">
        <v>578</v>
      </c>
      <c r="D285" s="10">
        <v>8</v>
      </c>
      <c r="E285" s="10">
        <v>1</v>
      </c>
      <c r="F285" s="10">
        <v>176</v>
      </c>
      <c r="G285" s="10">
        <v>2</v>
      </c>
      <c r="H285" s="10">
        <v>1</v>
      </c>
      <c r="I285" s="10">
        <v>0</v>
      </c>
      <c r="J285" s="10">
        <v>1</v>
      </c>
      <c r="K285" s="10">
        <v>0</v>
      </c>
      <c r="L285" s="10">
        <v>1</v>
      </c>
      <c r="M285" s="10">
        <v>1</v>
      </c>
      <c r="N285" s="10">
        <v>0</v>
      </c>
      <c r="O285" s="10">
        <v>0</v>
      </c>
      <c r="P285" s="10">
        <v>1.7</v>
      </c>
      <c r="Q285" s="10">
        <v>0.9</v>
      </c>
      <c r="R285" s="10">
        <v>0</v>
      </c>
      <c r="S285" s="10">
        <v>1</v>
      </c>
      <c r="T285" s="10">
        <v>2</v>
      </c>
      <c r="U285" s="10">
        <v>10</v>
      </c>
      <c r="V285" s="10">
        <v>0.51</v>
      </c>
      <c r="W285" s="10">
        <v>0</v>
      </c>
      <c r="X285" s="10">
        <v>0.51</v>
      </c>
      <c r="Y285" s="10">
        <v>0</v>
      </c>
      <c r="Z285" s="10">
        <v>0.84</v>
      </c>
      <c r="AA285" s="10">
        <v>0</v>
      </c>
      <c r="AB285" s="10">
        <v>0.47</v>
      </c>
      <c r="AC285" s="10"/>
      <c r="AD285" s="2"/>
      <c r="AE285" s="1"/>
    </row>
    <row r="286" spans="1:31" hidden="1" x14ac:dyDescent="0.35">
      <c r="A286" s="15">
        <f t="shared" si="10"/>
        <v>1121</v>
      </c>
      <c r="B286" s="16">
        <v>11</v>
      </c>
      <c r="C286" s="13" t="s">
        <v>564</v>
      </c>
      <c r="D286" s="10">
        <v>5</v>
      </c>
      <c r="E286" s="10">
        <v>4</v>
      </c>
      <c r="F286" s="10">
        <v>306</v>
      </c>
      <c r="G286" s="10">
        <v>3.4</v>
      </c>
      <c r="H286" s="10">
        <v>2</v>
      </c>
      <c r="I286" s="10">
        <v>0</v>
      </c>
      <c r="J286" s="10">
        <v>2</v>
      </c>
      <c r="K286" s="10">
        <v>2</v>
      </c>
      <c r="L286" s="10">
        <v>0</v>
      </c>
      <c r="M286" s="10">
        <v>0</v>
      </c>
      <c r="N286" s="10">
        <v>2</v>
      </c>
      <c r="O286" s="10">
        <v>0</v>
      </c>
      <c r="P286" s="10">
        <v>1.2</v>
      </c>
      <c r="Q286" s="10">
        <v>1.2</v>
      </c>
      <c r="R286" s="10">
        <v>0.4</v>
      </c>
      <c r="S286" s="10">
        <v>8</v>
      </c>
      <c r="T286" s="10">
        <v>10</v>
      </c>
      <c r="U286" s="10">
        <v>23</v>
      </c>
      <c r="V286" s="10">
        <v>0.59</v>
      </c>
      <c r="W286" s="10">
        <v>0</v>
      </c>
      <c r="X286" s="10">
        <v>0.59</v>
      </c>
      <c r="Y286" s="10">
        <v>0.59</v>
      </c>
      <c r="Z286" s="10">
        <v>0.34</v>
      </c>
      <c r="AA286" s="10">
        <v>0.12</v>
      </c>
      <c r="AB286" s="10">
        <v>0.34</v>
      </c>
      <c r="AC286" s="10"/>
      <c r="AD286" s="2"/>
      <c r="AE286" s="1"/>
    </row>
    <row r="287" spans="1:31" hidden="1" x14ac:dyDescent="0.35">
      <c r="A287" s="15">
        <f t="shared" si="10"/>
        <v>1122</v>
      </c>
      <c r="B287" s="16">
        <v>11</v>
      </c>
      <c r="C287" s="13" t="s">
        <v>546</v>
      </c>
      <c r="D287" s="10">
        <v>8</v>
      </c>
      <c r="E287" s="10">
        <v>8</v>
      </c>
      <c r="F287" s="10">
        <v>720</v>
      </c>
      <c r="G287" s="10">
        <v>8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1</v>
      </c>
      <c r="O287" s="10">
        <v>0</v>
      </c>
      <c r="P287" s="10">
        <v>0.8</v>
      </c>
      <c r="Q287" s="10">
        <v>0.8</v>
      </c>
      <c r="R287" s="10">
        <v>0.1</v>
      </c>
      <c r="S287" s="10">
        <v>1</v>
      </c>
      <c r="T287" s="10">
        <v>23</v>
      </c>
      <c r="U287" s="10">
        <v>3</v>
      </c>
      <c r="V287" s="10">
        <v>0</v>
      </c>
      <c r="W287" s="10">
        <v>0</v>
      </c>
      <c r="X287" s="10">
        <v>0</v>
      </c>
      <c r="Y287" s="10">
        <v>0</v>
      </c>
      <c r="Z287" s="10">
        <v>0.1</v>
      </c>
      <c r="AA287" s="10">
        <v>0.01</v>
      </c>
      <c r="AB287" s="10">
        <v>0.1</v>
      </c>
      <c r="AC287" s="10"/>
      <c r="AD287" s="5"/>
      <c r="AE287" s="1"/>
    </row>
    <row r="288" spans="1:31" hidden="1" x14ac:dyDescent="0.35">
      <c r="A288" s="15">
        <f t="shared" si="10"/>
        <v>1123</v>
      </c>
      <c r="B288" s="16">
        <v>11</v>
      </c>
      <c r="C288" s="13" t="s">
        <v>584</v>
      </c>
      <c r="D288" s="10">
        <v>1</v>
      </c>
      <c r="E288" s="10">
        <v>0</v>
      </c>
      <c r="F288" s="10">
        <v>8</v>
      </c>
      <c r="G288" s="10">
        <v>0.1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/>
      <c r="AD288" s="5"/>
      <c r="AE288" s="1"/>
    </row>
    <row r="289" spans="1:31" hidden="1" x14ac:dyDescent="0.35">
      <c r="A289" s="15">
        <f t="shared" si="10"/>
        <v>1124</v>
      </c>
      <c r="B289" s="16">
        <v>11</v>
      </c>
      <c r="C289" s="13" t="s">
        <v>554</v>
      </c>
      <c r="D289" s="10">
        <v>8</v>
      </c>
      <c r="E289" s="10">
        <v>6</v>
      </c>
      <c r="F289" s="10">
        <v>566</v>
      </c>
      <c r="G289" s="10">
        <v>6.3</v>
      </c>
      <c r="H289" s="10">
        <v>1</v>
      </c>
      <c r="I289" s="10">
        <v>1</v>
      </c>
      <c r="J289" s="10">
        <v>2</v>
      </c>
      <c r="K289" s="10">
        <v>1</v>
      </c>
      <c r="L289" s="10">
        <v>0</v>
      </c>
      <c r="M289" s="10">
        <v>0</v>
      </c>
      <c r="N289" s="10">
        <v>0</v>
      </c>
      <c r="O289" s="10">
        <v>0</v>
      </c>
      <c r="P289" s="10">
        <v>0.4</v>
      </c>
      <c r="Q289" s="10">
        <v>0.4</v>
      </c>
      <c r="R289" s="10">
        <v>1.5</v>
      </c>
      <c r="S289" s="10">
        <v>2</v>
      </c>
      <c r="T289" s="10">
        <v>16</v>
      </c>
      <c r="U289" s="10">
        <v>11</v>
      </c>
      <c r="V289" s="10">
        <v>0.16</v>
      </c>
      <c r="W289" s="10">
        <v>0.16</v>
      </c>
      <c r="X289" s="10">
        <v>0.32</v>
      </c>
      <c r="Y289" s="10">
        <v>0.16</v>
      </c>
      <c r="Z289" s="10">
        <v>7.0000000000000007E-2</v>
      </c>
      <c r="AA289" s="10">
        <v>0.24</v>
      </c>
      <c r="AB289" s="10">
        <v>7.0000000000000007E-2</v>
      </c>
      <c r="AC289" s="10"/>
      <c r="AD289" s="5"/>
      <c r="AE289" s="1"/>
    </row>
    <row r="290" spans="1:31" hidden="1" x14ac:dyDescent="0.35">
      <c r="A290" s="15">
        <f t="shared" si="10"/>
        <v>1125</v>
      </c>
      <c r="B290" s="16">
        <v>11</v>
      </c>
      <c r="C290" s="13" t="s">
        <v>588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/>
      <c r="AD290" s="5"/>
      <c r="AE290" s="1"/>
    </row>
    <row r="291" spans="1:31" hidden="1" x14ac:dyDescent="0.35">
      <c r="A291" s="15">
        <f t="shared" si="10"/>
        <v>1126</v>
      </c>
      <c r="B291" s="16">
        <v>11</v>
      </c>
      <c r="C291" s="13" t="s">
        <v>570</v>
      </c>
      <c r="D291" s="10">
        <v>4</v>
      </c>
      <c r="E291" s="10">
        <v>3</v>
      </c>
      <c r="F291" s="10">
        <v>192</v>
      </c>
      <c r="G291" s="10">
        <v>2.1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1</v>
      </c>
      <c r="O291" s="10">
        <v>0</v>
      </c>
      <c r="P291" s="10">
        <v>0.2</v>
      </c>
      <c r="Q291" s="10">
        <v>0.2</v>
      </c>
      <c r="R291" s="10">
        <v>0.1</v>
      </c>
      <c r="S291" s="10">
        <v>4</v>
      </c>
      <c r="T291" s="10">
        <v>4</v>
      </c>
      <c r="U291" s="10">
        <v>14</v>
      </c>
      <c r="V291" s="10">
        <v>0</v>
      </c>
      <c r="W291" s="10">
        <v>0</v>
      </c>
      <c r="X291" s="10">
        <v>0</v>
      </c>
      <c r="Y291" s="10">
        <v>0</v>
      </c>
      <c r="Z291" s="10">
        <v>0.08</v>
      </c>
      <c r="AA291" s="10">
        <v>0.04</v>
      </c>
      <c r="AB291" s="10">
        <v>0.08</v>
      </c>
      <c r="AC291" s="10"/>
      <c r="AD291" s="2"/>
      <c r="AE291" s="1"/>
    </row>
    <row r="292" spans="1:31" x14ac:dyDescent="0.35">
      <c r="A292" s="15">
        <v>1201</v>
      </c>
      <c r="B292" s="16">
        <v>12</v>
      </c>
      <c r="C292" s="13" t="s">
        <v>619</v>
      </c>
      <c r="D292" s="10">
        <v>4</v>
      </c>
      <c r="E292" s="10">
        <v>3</v>
      </c>
      <c r="F292" s="10">
        <v>251</v>
      </c>
      <c r="G292" s="10">
        <v>2.8</v>
      </c>
      <c r="H292" s="10">
        <v>0</v>
      </c>
      <c r="I292" s="10">
        <v>1</v>
      </c>
      <c r="J292" s="10">
        <v>1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0.9</v>
      </c>
      <c r="Q292" s="10">
        <v>0.9</v>
      </c>
      <c r="R292" s="10">
        <v>0.5</v>
      </c>
      <c r="S292" s="10">
        <v>1</v>
      </c>
      <c r="T292" s="10">
        <v>7</v>
      </c>
      <c r="U292" s="10">
        <v>11</v>
      </c>
      <c r="V292" s="10">
        <v>0</v>
      </c>
      <c r="W292" s="10">
        <v>0.36</v>
      </c>
      <c r="X292" s="10">
        <v>0.36</v>
      </c>
      <c r="Y292" s="10">
        <v>0</v>
      </c>
      <c r="Z292" s="10">
        <v>0.34</v>
      </c>
      <c r="AA292" s="10">
        <v>0.2</v>
      </c>
      <c r="AB292" s="10">
        <v>0.34</v>
      </c>
      <c r="AC292" s="10"/>
      <c r="AD292" s="2"/>
      <c r="AE292" s="1"/>
    </row>
    <row r="293" spans="1:31" x14ac:dyDescent="0.35">
      <c r="A293" s="15">
        <f>A292+1</f>
        <v>1202</v>
      </c>
      <c r="B293" s="16">
        <v>12</v>
      </c>
      <c r="C293" s="13" t="s">
        <v>611</v>
      </c>
      <c r="D293" s="10">
        <v>7</v>
      </c>
      <c r="E293" s="10">
        <v>7</v>
      </c>
      <c r="F293" s="10">
        <v>446</v>
      </c>
      <c r="G293" s="10">
        <v>5</v>
      </c>
      <c r="H293" s="10">
        <v>0</v>
      </c>
      <c r="I293" s="10">
        <v>1</v>
      </c>
      <c r="J293" s="10">
        <v>1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0.4</v>
      </c>
      <c r="Q293" s="10">
        <v>0.4</v>
      </c>
      <c r="R293" s="10">
        <v>1</v>
      </c>
      <c r="S293" s="10">
        <v>12</v>
      </c>
      <c r="T293" s="10">
        <v>17</v>
      </c>
      <c r="U293" s="10">
        <v>13</v>
      </c>
      <c r="V293" s="10">
        <v>0</v>
      </c>
      <c r="W293" s="10">
        <v>0.2</v>
      </c>
      <c r="X293" s="10">
        <v>0.2</v>
      </c>
      <c r="Y293" s="10">
        <v>0</v>
      </c>
      <c r="Z293" s="10">
        <v>7.0000000000000007E-2</v>
      </c>
      <c r="AA293" s="10">
        <v>0.2</v>
      </c>
      <c r="AB293" s="10">
        <v>7.0000000000000007E-2</v>
      </c>
      <c r="AC293" s="10"/>
      <c r="AD293" s="2"/>
      <c r="AE293" s="1"/>
    </row>
    <row r="294" spans="1:31" x14ac:dyDescent="0.35">
      <c r="A294" s="15">
        <f t="shared" ref="A294:A316" si="11">A293+1</f>
        <v>1203</v>
      </c>
      <c r="B294" s="16">
        <v>12</v>
      </c>
      <c r="C294" s="13" t="s">
        <v>607</v>
      </c>
      <c r="D294" s="10">
        <v>6</v>
      </c>
      <c r="E294" s="10">
        <v>6</v>
      </c>
      <c r="F294" s="10">
        <v>540</v>
      </c>
      <c r="G294" s="10">
        <v>6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4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/>
      <c r="AD294" s="2"/>
      <c r="AE294" s="1"/>
    </row>
    <row r="295" spans="1:31" x14ac:dyDescent="0.35">
      <c r="A295" s="15">
        <f t="shared" si="11"/>
        <v>1204</v>
      </c>
      <c r="B295" s="16">
        <v>12</v>
      </c>
      <c r="C295" s="13" t="s">
        <v>627</v>
      </c>
      <c r="D295" s="10">
        <v>3</v>
      </c>
      <c r="E295" s="10">
        <v>0</v>
      </c>
      <c r="F295" s="10">
        <v>120</v>
      </c>
      <c r="G295" s="10">
        <v>1.3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0.1</v>
      </c>
      <c r="Q295" s="10">
        <v>0.1</v>
      </c>
      <c r="R295" s="10">
        <v>0.3</v>
      </c>
      <c r="S295" s="10">
        <v>6</v>
      </c>
      <c r="T295" s="10">
        <v>10</v>
      </c>
      <c r="U295" s="10">
        <v>13</v>
      </c>
      <c r="V295" s="10">
        <v>0</v>
      </c>
      <c r="W295" s="10">
        <v>0</v>
      </c>
      <c r="X295" s="10">
        <v>0</v>
      </c>
      <c r="Y295" s="10">
        <v>0</v>
      </c>
      <c r="Z295" s="10">
        <v>0.1</v>
      </c>
      <c r="AA295" s="10">
        <v>0.25</v>
      </c>
      <c r="AB295" s="10">
        <v>0.1</v>
      </c>
      <c r="AC295" s="10"/>
      <c r="AD295" s="2"/>
      <c r="AE295" s="1"/>
    </row>
    <row r="296" spans="1:31" x14ac:dyDescent="0.35">
      <c r="A296" s="15">
        <f t="shared" si="11"/>
        <v>1205</v>
      </c>
      <c r="B296" s="16">
        <v>12</v>
      </c>
      <c r="C296" s="13" t="s">
        <v>606</v>
      </c>
      <c r="D296" s="10">
        <v>8</v>
      </c>
      <c r="E296" s="10">
        <v>7</v>
      </c>
      <c r="F296" s="10">
        <v>644</v>
      </c>
      <c r="G296" s="10">
        <v>7.2</v>
      </c>
      <c r="H296" s="10">
        <v>3</v>
      </c>
      <c r="I296" s="10">
        <v>2</v>
      </c>
      <c r="J296" s="10">
        <v>5</v>
      </c>
      <c r="K296" s="10">
        <v>3</v>
      </c>
      <c r="L296" s="10">
        <v>0</v>
      </c>
      <c r="M296" s="10">
        <v>0</v>
      </c>
      <c r="N296" s="10">
        <v>0</v>
      </c>
      <c r="O296" s="10">
        <v>0</v>
      </c>
      <c r="P296" s="10">
        <v>2.7</v>
      </c>
      <c r="Q296" s="10">
        <v>2.7</v>
      </c>
      <c r="R296" s="10">
        <v>2.4</v>
      </c>
      <c r="S296" s="10">
        <v>31</v>
      </c>
      <c r="T296" s="10">
        <v>25</v>
      </c>
      <c r="U296" s="10">
        <v>75</v>
      </c>
      <c r="V296" s="10">
        <v>0.42</v>
      </c>
      <c r="W296" s="10">
        <v>0.28000000000000003</v>
      </c>
      <c r="X296" s="10">
        <v>0.7</v>
      </c>
      <c r="Y296" s="10">
        <v>0.42</v>
      </c>
      <c r="Z296" s="10">
        <v>0.38</v>
      </c>
      <c r="AA296" s="10">
        <v>0.34</v>
      </c>
      <c r="AB296" s="10">
        <v>0.38</v>
      </c>
      <c r="AC296" s="10"/>
      <c r="AD296" s="2"/>
      <c r="AE296" s="1"/>
    </row>
    <row r="297" spans="1:31" x14ac:dyDescent="0.35">
      <c r="A297" s="15">
        <f t="shared" si="11"/>
        <v>1206</v>
      </c>
      <c r="B297" s="16">
        <v>12</v>
      </c>
      <c r="C297" s="13" t="s">
        <v>617</v>
      </c>
      <c r="D297" s="10">
        <v>6</v>
      </c>
      <c r="E297" s="10">
        <v>4</v>
      </c>
      <c r="F297" s="10">
        <v>297</v>
      </c>
      <c r="G297" s="10">
        <v>3.3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3</v>
      </c>
      <c r="O297" s="10">
        <v>0</v>
      </c>
      <c r="P297" s="10">
        <v>0.1</v>
      </c>
      <c r="Q297" s="10">
        <v>0.1</v>
      </c>
      <c r="R297" s="10">
        <v>0</v>
      </c>
      <c r="S297" s="10">
        <v>13</v>
      </c>
      <c r="T297" s="10">
        <v>14</v>
      </c>
      <c r="U297" s="10">
        <v>16</v>
      </c>
      <c r="V297" s="10">
        <v>0</v>
      </c>
      <c r="W297" s="10">
        <v>0</v>
      </c>
      <c r="X297" s="10">
        <v>0</v>
      </c>
      <c r="Y297" s="10">
        <v>0</v>
      </c>
      <c r="Z297" s="10">
        <v>0.02</v>
      </c>
      <c r="AA297" s="10">
        <v>0.01</v>
      </c>
      <c r="AB297" s="10">
        <v>0.02</v>
      </c>
      <c r="AC297" s="10"/>
      <c r="AD297" s="2"/>
      <c r="AE297" s="1"/>
    </row>
    <row r="298" spans="1:31" x14ac:dyDescent="0.35">
      <c r="A298" s="15">
        <f t="shared" si="11"/>
        <v>1207</v>
      </c>
      <c r="B298" s="16">
        <v>12</v>
      </c>
      <c r="C298" s="13" t="s">
        <v>621</v>
      </c>
      <c r="D298" s="10">
        <v>7</v>
      </c>
      <c r="E298" s="10">
        <v>1</v>
      </c>
      <c r="F298" s="10">
        <v>258</v>
      </c>
      <c r="G298" s="10">
        <v>2.9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0.3</v>
      </c>
      <c r="Q298" s="10">
        <v>0.3</v>
      </c>
      <c r="R298" s="10">
        <v>0.4</v>
      </c>
      <c r="S298" s="10">
        <v>10</v>
      </c>
      <c r="T298" s="10">
        <v>36</v>
      </c>
      <c r="U298" s="10">
        <v>10</v>
      </c>
      <c r="V298" s="10">
        <v>0</v>
      </c>
      <c r="W298" s="10">
        <v>0</v>
      </c>
      <c r="X298" s="10">
        <v>0</v>
      </c>
      <c r="Y298" s="10">
        <v>0</v>
      </c>
      <c r="Z298" s="10">
        <v>0.1</v>
      </c>
      <c r="AA298" s="10">
        <v>0.13</v>
      </c>
      <c r="AB298" s="10">
        <v>0.1</v>
      </c>
      <c r="AC298" s="10"/>
      <c r="AD298" s="2"/>
      <c r="AE298" s="1"/>
    </row>
    <row r="299" spans="1:31" x14ac:dyDescent="0.35">
      <c r="A299" s="15">
        <f t="shared" si="11"/>
        <v>1208</v>
      </c>
      <c r="B299" s="16">
        <v>12</v>
      </c>
      <c r="C299" s="13" t="s">
        <v>596</v>
      </c>
      <c r="D299" s="10">
        <v>8</v>
      </c>
      <c r="E299" s="10">
        <v>8</v>
      </c>
      <c r="F299" s="10">
        <v>720</v>
      </c>
      <c r="G299" s="10">
        <v>8</v>
      </c>
      <c r="H299" s="10">
        <v>1</v>
      </c>
      <c r="I299" s="10">
        <v>0</v>
      </c>
      <c r="J299" s="10">
        <v>1</v>
      </c>
      <c r="K299" s="10">
        <v>1</v>
      </c>
      <c r="L299" s="10">
        <v>0</v>
      </c>
      <c r="M299" s="10">
        <v>0</v>
      </c>
      <c r="N299" s="10">
        <v>2</v>
      </c>
      <c r="O299" s="10">
        <v>0</v>
      </c>
      <c r="P299" s="10">
        <v>1</v>
      </c>
      <c r="Q299" s="10">
        <v>1</v>
      </c>
      <c r="R299" s="10">
        <v>1.1000000000000001</v>
      </c>
      <c r="S299" s="10">
        <v>16</v>
      </c>
      <c r="T299" s="10">
        <v>53</v>
      </c>
      <c r="U299" s="10">
        <v>35</v>
      </c>
      <c r="V299" s="10">
        <v>0.12</v>
      </c>
      <c r="W299" s="10">
        <v>0</v>
      </c>
      <c r="X299" s="10">
        <v>0.12</v>
      </c>
      <c r="Y299" s="10">
        <v>0.12</v>
      </c>
      <c r="Z299" s="10">
        <v>0.13</v>
      </c>
      <c r="AA299" s="10">
        <v>0.14000000000000001</v>
      </c>
      <c r="AB299" s="10">
        <v>0.13</v>
      </c>
      <c r="AC299" s="10"/>
      <c r="AD299" s="2"/>
      <c r="AE299" s="1"/>
    </row>
    <row r="300" spans="1:31" x14ac:dyDescent="0.35">
      <c r="A300" s="15">
        <f t="shared" si="11"/>
        <v>1209</v>
      </c>
      <c r="B300" s="16">
        <v>12</v>
      </c>
      <c r="C300" s="13" t="s">
        <v>629</v>
      </c>
      <c r="D300" s="10">
        <v>6</v>
      </c>
      <c r="E300" s="10">
        <v>0</v>
      </c>
      <c r="F300" s="10">
        <v>87</v>
      </c>
      <c r="G300" s="10">
        <v>1</v>
      </c>
      <c r="H300" s="10">
        <v>2</v>
      </c>
      <c r="I300" s="10">
        <v>1</v>
      </c>
      <c r="J300" s="10">
        <v>3</v>
      </c>
      <c r="K300" s="10">
        <v>2</v>
      </c>
      <c r="L300" s="10">
        <v>0</v>
      </c>
      <c r="M300" s="10">
        <v>0</v>
      </c>
      <c r="N300" s="10">
        <v>1</v>
      </c>
      <c r="O300" s="10">
        <v>0</v>
      </c>
      <c r="P300" s="10">
        <v>0.8</v>
      </c>
      <c r="Q300" s="10">
        <v>0.8</v>
      </c>
      <c r="R300" s="10">
        <v>0.9</v>
      </c>
      <c r="S300" s="10">
        <v>3</v>
      </c>
      <c r="T300" s="10">
        <v>4</v>
      </c>
      <c r="U300" s="10">
        <v>10</v>
      </c>
      <c r="V300" s="10">
        <v>2.0699999999999998</v>
      </c>
      <c r="W300" s="10">
        <v>1.03</v>
      </c>
      <c r="X300" s="10">
        <v>3.1</v>
      </c>
      <c r="Y300" s="10">
        <v>2.0699999999999998</v>
      </c>
      <c r="Z300" s="10">
        <v>0.81</v>
      </c>
      <c r="AA300" s="10">
        <v>0.96</v>
      </c>
      <c r="AB300" s="10">
        <v>0.81</v>
      </c>
      <c r="AC300" s="10"/>
      <c r="AD300" s="2"/>
      <c r="AE300" s="1"/>
    </row>
    <row r="301" spans="1:31" x14ac:dyDescent="0.35">
      <c r="A301" s="15">
        <f t="shared" si="11"/>
        <v>1210</v>
      </c>
      <c r="B301" s="16">
        <v>12</v>
      </c>
      <c r="C301" s="13" t="s">
        <v>613</v>
      </c>
      <c r="D301" s="10">
        <v>8</v>
      </c>
      <c r="E301" s="10">
        <v>5</v>
      </c>
      <c r="F301" s="10">
        <v>511</v>
      </c>
      <c r="G301" s="10">
        <v>5.7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1</v>
      </c>
      <c r="O301" s="10">
        <v>0</v>
      </c>
      <c r="P301" s="10">
        <v>1</v>
      </c>
      <c r="Q301" s="10">
        <v>1</v>
      </c>
      <c r="R301" s="10">
        <v>1</v>
      </c>
      <c r="S301" s="10">
        <v>17</v>
      </c>
      <c r="T301" s="10">
        <v>38</v>
      </c>
      <c r="U301" s="10">
        <v>38</v>
      </c>
      <c r="V301" s="10">
        <v>0</v>
      </c>
      <c r="W301" s="10">
        <v>0</v>
      </c>
      <c r="X301" s="10">
        <v>0</v>
      </c>
      <c r="Y301" s="10">
        <v>0</v>
      </c>
      <c r="Z301" s="10">
        <v>0.18</v>
      </c>
      <c r="AA301" s="10">
        <v>0.17</v>
      </c>
      <c r="AB301" s="10">
        <v>0.18</v>
      </c>
      <c r="AC301" s="10"/>
      <c r="AD301" s="2"/>
      <c r="AE301" s="1"/>
    </row>
    <row r="302" spans="1:31" x14ac:dyDescent="0.35">
      <c r="A302" s="15">
        <f t="shared" si="11"/>
        <v>1211</v>
      </c>
      <c r="B302" s="16">
        <v>12</v>
      </c>
      <c r="C302" s="13" t="s">
        <v>640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/>
      <c r="AD302" s="2"/>
      <c r="AE302" s="1"/>
    </row>
    <row r="303" spans="1:31" x14ac:dyDescent="0.35">
      <c r="A303" s="15">
        <f t="shared" si="11"/>
        <v>1212</v>
      </c>
      <c r="B303" s="16">
        <v>12</v>
      </c>
      <c r="C303" s="13" t="s">
        <v>623</v>
      </c>
      <c r="D303" s="10">
        <v>2</v>
      </c>
      <c r="E303" s="10">
        <v>2</v>
      </c>
      <c r="F303" s="10">
        <v>180</v>
      </c>
      <c r="G303" s="10">
        <v>2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/>
      <c r="AD303" s="2"/>
      <c r="AE303" s="1"/>
    </row>
    <row r="304" spans="1:31" x14ac:dyDescent="0.35">
      <c r="A304" s="15">
        <f t="shared" si="11"/>
        <v>1213</v>
      </c>
      <c r="B304" s="16">
        <v>12</v>
      </c>
      <c r="C304" s="13" t="s">
        <v>637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/>
      <c r="AD304" s="2"/>
      <c r="AE304" s="1"/>
    </row>
    <row r="305" spans="1:31" x14ac:dyDescent="0.35">
      <c r="A305" s="15">
        <f t="shared" si="11"/>
        <v>1214</v>
      </c>
      <c r="B305" s="16">
        <v>12</v>
      </c>
      <c r="C305" s="13" t="s">
        <v>105</v>
      </c>
      <c r="D305" s="10">
        <v>1</v>
      </c>
      <c r="E305" s="10">
        <v>0</v>
      </c>
      <c r="F305" s="10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1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/>
      <c r="AD305" s="2"/>
      <c r="AE305" s="1"/>
    </row>
    <row r="306" spans="1:31" x14ac:dyDescent="0.35">
      <c r="A306" s="15">
        <f t="shared" si="11"/>
        <v>1215</v>
      </c>
      <c r="B306" s="16">
        <v>12</v>
      </c>
      <c r="C306" s="13" t="s">
        <v>615</v>
      </c>
      <c r="D306" s="10">
        <v>7</v>
      </c>
      <c r="E306" s="10">
        <v>5</v>
      </c>
      <c r="F306" s="10">
        <v>411</v>
      </c>
      <c r="G306" s="10">
        <v>4.5999999999999996</v>
      </c>
      <c r="H306" s="10">
        <v>3</v>
      </c>
      <c r="I306" s="10">
        <v>1</v>
      </c>
      <c r="J306" s="10">
        <v>4</v>
      </c>
      <c r="K306" s="10">
        <v>3</v>
      </c>
      <c r="L306" s="10">
        <v>0</v>
      </c>
      <c r="M306" s="10">
        <v>0</v>
      </c>
      <c r="N306" s="10">
        <v>0</v>
      </c>
      <c r="O306" s="10">
        <v>0</v>
      </c>
      <c r="P306" s="10">
        <v>2</v>
      </c>
      <c r="Q306" s="10">
        <v>2</v>
      </c>
      <c r="R306" s="10">
        <v>0.3</v>
      </c>
      <c r="S306" s="10">
        <v>8</v>
      </c>
      <c r="T306" s="10">
        <v>9</v>
      </c>
      <c r="U306" s="10">
        <v>23</v>
      </c>
      <c r="V306" s="10">
        <v>0.66</v>
      </c>
      <c r="W306" s="10">
        <v>0.22</v>
      </c>
      <c r="X306" s="10">
        <v>0.88</v>
      </c>
      <c r="Y306" s="10">
        <v>0.66</v>
      </c>
      <c r="Z306" s="10">
        <v>0.44</v>
      </c>
      <c r="AA306" s="10">
        <v>0.06</v>
      </c>
      <c r="AB306" s="10">
        <v>0.44</v>
      </c>
      <c r="AC306" s="10"/>
      <c r="AD306" s="2"/>
      <c r="AE306" s="1"/>
    </row>
    <row r="307" spans="1:31" x14ac:dyDescent="0.35">
      <c r="A307" s="15">
        <f t="shared" si="11"/>
        <v>1216</v>
      </c>
      <c r="B307" s="16">
        <v>12</v>
      </c>
      <c r="C307" s="13" t="s">
        <v>602</v>
      </c>
      <c r="D307" s="10">
        <v>8</v>
      </c>
      <c r="E307" s="10">
        <v>8</v>
      </c>
      <c r="F307" s="10">
        <v>652</v>
      </c>
      <c r="G307" s="10">
        <v>7.2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2</v>
      </c>
      <c r="O307" s="10">
        <v>0</v>
      </c>
      <c r="P307" s="10">
        <v>0.6</v>
      </c>
      <c r="Q307" s="10">
        <v>0.6</v>
      </c>
      <c r="R307" s="10">
        <v>0.5</v>
      </c>
      <c r="S307" s="10">
        <v>11</v>
      </c>
      <c r="T307" s="10">
        <v>34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0.09</v>
      </c>
      <c r="AA307" s="10">
        <v>7.0000000000000007E-2</v>
      </c>
      <c r="AB307" s="10">
        <v>0.09</v>
      </c>
      <c r="AC307" s="10"/>
      <c r="AD307" s="2"/>
      <c r="AE307" s="1"/>
    </row>
    <row r="308" spans="1:31" x14ac:dyDescent="0.35">
      <c r="A308" s="15">
        <f t="shared" si="11"/>
        <v>1217</v>
      </c>
      <c r="B308" s="16">
        <v>12</v>
      </c>
      <c r="C308" s="13" t="s">
        <v>625</v>
      </c>
      <c r="D308" s="10">
        <v>4</v>
      </c>
      <c r="E308" s="10">
        <v>1</v>
      </c>
      <c r="F308" s="10">
        <v>86</v>
      </c>
      <c r="G308" s="10">
        <v>1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0.1</v>
      </c>
      <c r="Q308" s="10">
        <v>0.1</v>
      </c>
      <c r="R308" s="10">
        <v>0.3</v>
      </c>
      <c r="S308" s="10">
        <v>4</v>
      </c>
      <c r="T308" s="10">
        <v>3</v>
      </c>
      <c r="U308" s="10">
        <v>10</v>
      </c>
      <c r="V308" s="10">
        <v>0</v>
      </c>
      <c r="W308" s="10">
        <v>0</v>
      </c>
      <c r="X308" s="10">
        <v>0</v>
      </c>
      <c r="Y308" s="10">
        <v>0</v>
      </c>
      <c r="Z308" s="10">
        <v>0.08</v>
      </c>
      <c r="AA308" s="10">
        <v>0.31</v>
      </c>
      <c r="AB308" s="10">
        <v>0.08</v>
      </c>
      <c r="AC308" s="10"/>
      <c r="AD308" s="2"/>
      <c r="AE308" s="1"/>
    </row>
    <row r="309" spans="1:31" x14ac:dyDescent="0.35">
      <c r="A309" s="15">
        <f t="shared" si="11"/>
        <v>1218</v>
      </c>
      <c r="B309" s="16">
        <v>12</v>
      </c>
      <c r="C309" s="13" t="s">
        <v>632</v>
      </c>
      <c r="D309" s="10">
        <v>2</v>
      </c>
      <c r="E309" s="10">
        <v>0</v>
      </c>
      <c r="F309" s="10">
        <v>31</v>
      </c>
      <c r="G309" s="10">
        <v>0.3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1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/>
      <c r="AD309" s="2"/>
      <c r="AE309" s="1"/>
    </row>
    <row r="310" spans="1:31" x14ac:dyDescent="0.35">
      <c r="A310" s="15">
        <f t="shared" si="11"/>
        <v>1219</v>
      </c>
      <c r="B310" s="16">
        <v>12</v>
      </c>
      <c r="C310" s="13" t="s">
        <v>604</v>
      </c>
      <c r="D310" s="10">
        <v>8</v>
      </c>
      <c r="E310" s="10">
        <v>8</v>
      </c>
      <c r="F310" s="10">
        <v>600</v>
      </c>
      <c r="G310" s="10">
        <v>6.7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2</v>
      </c>
      <c r="O310" s="10">
        <v>0</v>
      </c>
      <c r="P310" s="10">
        <v>0.2</v>
      </c>
      <c r="Q310" s="10">
        <v>0.2</v>
      </c>
      <c r="R310" s="10">
        <v>0.3</v>
      </c>
      <c r="S310" s="10">
        <v>12</v>
      </c>
      <c r="T310" s="10">
        <v>32</v>
      </c>
      <c r="U310" s="10">
        <v>31</v>
      </c>
      <c r="V310" s="10">
        <v>0</v>
      </c>
      <c r="W310" s="10">
        <v>0</v>
      </c>
      <c r="X310" s="10">
        <v>0</v>
      </c>
      <c r="Y310" s="10">
        <v>0</v>
      </c>
      <c r="Z310" s="10">
        <v>0.03</v>
      </c>
      <c r="AA310" s="10">
        <v>0.05</v>
      </c>
      <c r="AB310" s="10">
        <v>0.03</v>
      </c>
      <c r="AC310" s="10"/>
      <c r="AD310" s="2"/>
      <c r="AE310" s="1"/>
    </row>
    <row r="311" spans="1:31" x14ac:dyDescent="0.35">
      <c r="A311" s="15">
        <f t="shared" si="11"/>
        <v>1220</v>
      </c>
      <c r="B311" s="16">
        <v>12</v>
      </c>
      <c r="C311" s="13" t="s">
        <v>600</v>
      </c>
      <c r="D311" s="10">
        <v>8</v>
      </c>
      <c r="E311" s="10">
        <v>8</v>
      </c>
      <c r="F311" s="10">
        <v>713</v>
      </c>
      <c r="G311" s="10">
        <v>7.9</v>
      </c>
      <c r="H311" s="10">
        <v>2</v>
      </c>
      <c r="I311" s="10">
        <v>2</v>
      </c>
      <c r="J311" s="10">
        <v>4</v>
      </c>
      <c r="K311" s="10">
        <v>1</v>
      </c>
      <c r="L311" s="10">
        <v>1</v>
      </c>
      <c r="M311" s="10">
        <v>1</v>
      </c>
      <c r="N311" s="10">
        <v>0</v>
      </c>
      <c r="O311" s="10">
        <v>0</v>
      </c>
      <c r="P311" s="10">
        <v>2.4</v>
      </c>
      <c r="Q311" s="10">
        <v>1.6</v>
      </c>
      <c r="R311" s="10">
        <v>1.6</v>
      </c>
      <c r="S311" s="10">
        <v>25</v>
      </c>
      <c r="T311" s="10">
        <v>26</v>
      </c>
      <c r="U311" s="10">
        <v>84</v>
      </c>
      <c r="V311" s="10">
        <v>0.25</v>
      </c>
      <c r="W311" s="10">
        <v>0.25</v>
      </c>
      <c r="X311" s="10">
        <v>0.5</v>
      </c>
      <c r="Y311" s="10">
        <v>0.13</v>
      </c>
      <c r="Z311" s="10">
        <v>0.3</v>
      </c>
      <c r="AA311" s="10">
        <v>0.2</v>
      </c>
      <c r="AB311" s="10">
        <v>0.2</v>
      </c>
      <c r="AC311" s="10"/>
      <c r="AD311" s="2"/>
      <c r="AE311" s="1"/>
    </row>
    <row r="312" spans="1:31" x14ac:dyDescent="0.35">
      <c r="A312" s="15">
        <f t="shared" si="11"/>
        <v>1221</v>
      </c>
      <c r="B312" s="16">
        <v>12</v>
      </c>
      <c r="C312" s="13" t="s">
        <v>634</v>
      </c>
      <c r="D312" s="10">
        <v>3</v>
      </c>
      <c r="E312" s="10">
        <v>0</v>
      </c>
      <c r="F312" s="10">
        <v>12</v>
      </c>
      <c r="G312" s="10">
        <v>0.1</v>
      </c>
      <c r="H312" s="10">
        <v>1</v>
      </c>
      <c r="I312" s="10">
        <v>0</v>
      </c>
      <c r="J312" s="10">
        <v>1</v>
      </c>
      <c r="K312" s="10">
        <v>1</v>
      </c>
      <c r="L312" s="10">
        <v>0</v>
      </c>
      <c r="M312" s="10">
        <v>0</v>
      </c>
      <c r="N312" s="10">
        <v>0</v>
      </c>
      <c r="O312" s="10">
        <v>0</v>
      </c>
      <c r="P312" s="10">
        <v>0.4</v>
      </c>
      <c r="Q312" s="10">
        <v>0.4</v>
      </c>
      <c r="R312" s="10">
        <v>0.1</v>
      </c>
      <c r="S312" s="10">
        <v>4</v>
      </c>
      <c r="T312" s="10">
        <v>0</v>
      </c>
      <c r="U312" s="10">
        <v>7</v>
      </c>
      <c r="V312" s="10">
        <v>7.5</v>
      </c>
      <c r="W312" s="10">
        <v>0</v>
      </c>
      <c r="X312" s="10">
        <v>7.5</v>
      </c>
      <c r="Y312" s="10">
        <v>7.5</v>
      </c>
      <c r="Z312" s="10">
        <v>2.66</v>
      </c>
      <c r="AA312" s="10">
        <v>0.53</v>
      </c>
      <c r="AB312" s="10">
        <v>2.66</v>
      </c>
      <c r="AC312" s="10"/>
      <c r="AD312" s="2"/>
      <c r="AE312" s="1"/>
    </row>
    <row r="313" spans="1:31" x14ac:dyDescent="0.35">
      <c r="A313" s="15">
        <f t="shared" si="11"/>
        <v>1222</v>
      </c>
      <c r="B313" s="16">
        <v>12</v>
      </c>
      <c r="C313" s="13" t="s">
        <v>609</v>
      </c>
      <c r="D313" s="10">
        <v>7</v>
      </c>
      <c r="E313" s="10">
        <v>7</v>
      </c>
      <c r="F313" s="10">
        <v>601</v>
      </c>
      <c r="G313" s="10">
        <v>6.7</v>
      </c>
      <c r="H313" s="10">
        <v>2</v>
      </c>
      <c r="I313" s="10">
        <v>1</v>
      </c>
      <c r="J313" s="10">
        <v>3</v>
      </c>
      <c r="K313" s="10">
        <v>2</v>
      </c>
      <c r="L313" s="10">
        <v>0</v>
      </c>
      <c r="M313" s="10">
        <v>0</v>
      </c>
      <c r="N313" s="10">
        <v>2</v>
      </c>
      <c r="O313" s="10">
        <v>0</v>
      </c>
      <c r="P313" s="10">
        <v>0.4</v>
      </c>
      <c r="Q313" s="10">
        <v>0.4</v>
      </c>
      <c r="R313" s="10">
        <v>0.6</v>
      </c>
      <c r="S313" s="10">
        <v>18</v>
      </c>
      <c r="T313" s="10">
        <v>35</v>
      </c>
      <c r="U313" s="10">
        <v>15</v>
      </c>
      <c r="V313" s="10">
        <v>0.3</v>
      </c>
      <c r="W313" s="10">
        <v>0.15</v>
      </c>
      <c r="X313" s="10">
        <v>0.45</v>
      </c>
      <c r="Y313" s="10">
        <v>0.3</v>
      </c>
      <c r="Z313" s="10">
        <v>0.06</v>
      </c>
      <c r="AA313" s="10">
        <v>0.08</v>
      </c>
      <c r="AB313" s="10">
        <v>0.06</v>
      </c>
      <c r="AC313" s="10"/>
      <c r="AD313" s="2"/>
      <c r="AE313" s="1"/>
    </row>
    <row r="314" spans="1:31" x14ac:dyDescent="0.35">
      <c r="A314" s="15">
        <f t="shared" si="11"/>
        <v>1223</v>
      </c>
      <c r="B314" s="16">
        <v>12</v>
      </c>
      <c r="C314" s="13" t="s">
        <v>639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/>
      <c r="AD314" s="5"/>
      <c r="AE314" s="1"/>
    </row>
    <row r="315" spans="1:31" x14ac:dyDescent="0.35">
      <c r="A315" s="15">
        <f t="shared" si="11"/>
        <v>1224</v>
      </c>
      <c r="B315" s="16">
        <v>12</v>
      </c>
      <c r="C315" s="13" t="s">
        <v>598</v>
      </c>
      <c r="D315" s="10">
        <v>8</v>
      </c>
      <c r="E315" s="10">
        <v>8</v>
      </c>
      <c r="F315" s="10">
        <v>720</v>
      </c>
      <c r="G315" s="10">
        <v>8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1</v>
      </c>
      <c r="O315" s="10">
        <v>0</v>
      </c>
      <c r="P315" s="10">
        <v>0.4</v>
      </c>
      <c r="Q315" s="10">
        <v>0.4</v>
      </c>
      <c r="R315" s="10">
        <v>0</v>
      </c>
      <c r="S315" s="10">
        <v>12</v>
      </c>
      <c r="T315" s="10">
        <v>52</v>
      </c>
      <c r="U315" s="10">
        <v>6</v>
      </c>
      <c r="V315" s="10">
        <v>0</v>
      </c>
      <c r="W315" s="10">
        <v>0</v>
      </c>
      <c r="X315" s="10">
        <v>0</v>
      </c>
      <c r="Y315" s="10">
        <v>0</v>
      </c>
      <c r="Z315" s="10">
        <v>0.05</v>
      </c>
      <c r="AA315" s="10">
        <v>0</v>
      </c>
      <c r="AB315" s="10">
        <v>0.05</v>
      </c>
      <c r="AC315" s="10"/>
      <c r="AD315" s="5"/>
      <c r="AE315" s="1"/>
    </row>
    <row r="316" spans="1:31" x14ac:dyDescent="0.35">
      <c r="A316" s="15">
        <f t="shared" si="11"/>
        <v>1225</v>
      </c>
      <c r="B316" s="16">
        <v>12</v>
      </c>
      <c r="C316" s="13" t="s">
        <v>630</v>
      </c>
      <c r="D316" s="10">
        <v>4</v>
      </c>
      <c r="E316" s="10">
        <v>0</v>
      </c>
      <c r="F316" s="10">
        <v>39</v>
      </c>
      <c r="G316" s="10">
        <v>0.4</v>
      </c>
      <c r="H316" s="10">
        <v>0</v>
      </c>
      <c r="I316" s="10">
        <v>1</v>
      </c>
      <c r="J316" s="10">
        <v>1</v>
      </c>
      <c r="K316" s="10">
        <v>0</v>
      </c>
      <c r="L316" s="10">
        <v>0</v>
      </c>
      <c r="M316" s="10">
        <v>0</v>
      </c>
      <c r="N316" s="10">
        <v>1</v>
      </c>
      <c r="O316" s="10">
        <v>0</v>
      </c>
      <c r="P316" s="10">
        <v>0</v>
      </c>
      <c r="Q316" s="10">
        <v>0</v>
      </c>
      <c r="R316" s="10">
        <v>0.1</v>
      </c>
      <c r="S316" s="10">
        <v>2</v>
      </c>
      <c r="T316" s="10">
        <v>1</v>
      </c>
      <c r="U316" s="10">
        <v>0</v>
      </c>
      <c r="V316" s="10">
        <v>0</v>
      </c>
      <c r="W316" s="10">
        <v>2.31</v>
      </c>
      <c r="X316" s="10">
        <v>2.31</v>
      </c>
      <c r="Y316" s="10">
        <v>0</v>
      </c>
      <c r="Z316" s="10">
        <v>0</v>
      </c>
      <c r="AA316" s="10">
        <v>0.25</v>
      </c>
      <c r="AB316" s="10">
        <v>0</v>
      </c>
      <c r="AC316" s="10"/>
      <c r="AD316" s="2"/>
      <c r="AE316" s="1"/>
    </row>
    <row r="317" spans="1:31" hidden="1" x14ac:dyDescent="0.35">
      <c r="A317" s="15">
        <v>1301</v>
      </c>
      <c r="B317" s="16">
        <v>13</v>
      </c>
      <c r="C317" s="13" t="s">
        <v>673</v>
      </c>
      <c r="D317" s="10">
        <v>4</v>
      </c>
      <c r="E317" s="10">
        <v>3</v>
      </c>
      <c r="F317" s="10">
        <v>228</v>
      </c>
      <c r="G317" s="10">
        <v>2.5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1</v>
      </c>
      <c r="O317" s="10">
        <v>0</v>
      </c>
      <c r="P317" s="10">
        <v>0</v>
      </c>
      <c r="Q317" s="10">
        <v>0</v>
      </c>
      <c r="R317" s="10">
        <v>0</v>
      </c>
      <c r="S317" s="10">
        <v>2</v>
      </c>
      <c r="T317" s="10">
        <v>5</v>
      </c>
      <c r="U317" s="10">
        <v>4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/>
      <c r="AD317" s="2"/>
      <c r="AE317" s="1"/>
    </row>
    <row r="318" spans="1:31" hidden="1" x14ac:dyDescent="0.35">
      <c r="A318" s="15">
        <f>A317+1</f>
        <v>1302</v>
      </c>
      <c r="B318" s="16">
        <v>13</v>
      </c>
      <c r="C318" s="13" t="s">
        <v>653</v>
      </c>
      <c r="D318" s="10">
        <v>8</v>
      </c>
      <c r="E318" s="10">
        <v>4</v>
      </c>
      <c r="F318" s="10">
        <v>405</v>
      </c>
      <c r="G318" s="10">
        <v>4.5</v>
      </c>
      <c r="H318" s="10">
        <v>0</v>
      </c>
      <c r="I318" s="10">
        <v>1</v>
      </c>
      <c r="J318" s="10">
        <v>1</v>
      </c>
      <c r="K318" s="10">
        <v>0</v>
      </c>
      <c r="L318" s="10">
        <v>0</v>
      </c>
      <c r="M318" s="10">
        <v>0</v>
      </c>
      <c r="N318" s="10">
        <v>1</v>
      </c>
      <c r="O318" s="10">
        <v>0</v>
      </c>
      <c r="P318" s="10">
        <v>0.1</v>
      </c>
      <c r="Q318" s="10">
        <v>0.1</v>
      </c>
      <c r="R318" s="10">
        <v>1.7</v>
      </c>
      <c r="S318" s="10">
        <v>7</v>
      </c>
      <c r="T318" s="10">
        <v>18</v>
      </c>
      <c r="U318" s="10">
        <v>22</v>
      </c>
      <c r="V318" s="10">
        <v>0</v>
      </c>
      <c r="W318" s="10">
        <v>0.22</v>
      </c>
      <c r="X318" s="10">
        <v>0.22</v>
      </c>
      <c r="Y318" s="10">
        <v>0</v>
      </c>
      <c r="Z318" s="10">
        <v>0.01</v>
      </c>
      <c r="AA318" s="10">
        <v>0.38</v>
      </c>
      <c r="AB318" s="10">
        <v>0.01</v>
      </c>
      <c r="AC318" s="10"/>
      <c r="AD318" s="2"/>
      <c r="AE318" s="1"/>
    </row>
    <row r="319" spans="1:31" hidden="1" x14ac:dyDescent="0.35">
      <c r="A319" s="15">
        <f t="shared" ref="A319:A346" si="12">A318+1</f>
        <v>1303</v>
      </c>
      <c r="B319" s="16">
        <v>13</v>
      </c>
      <c r="C319" s="13" t="s">
        <v>698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/>
      <c r="AD319" s="2"/>
      <c r="AE319" s="1"/>
    </row>
    <row r="320" spans="1:31" hidden="1" x14ac:dyDescent="0.35">
      <c r="A320" s="15">
        <f t="shared" si="12"/>
        <v>1304</v>
      </c>
      <c r="B320" s="16">
        <v>13</v>
      </c>
      <c r="C320" s="13" t="s">
        <v>689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/>
      <c r="AD320" s="2"/>
      <c r="AE320" s="1"/>
    </row>
    <row r="321" spans="1:31" hidden="1" x14ac:dyDescent="0.35">
      <c r="A321" s="15">
        <f t="shared" si="12"/>
        <v>1305</v>
      </c>
      <c r="B321" s="16">
        <v>13</v>
      </c>
      <c r="C321" s="13" t="s">
        <v>645</v>
      </c>
      <c r="D321" s="10">
        <v>8</v>
      </c>
      <c r="E321" s="10">
        <v>8</v>
      </c>
      <c r="F321" s="10">
        <v>683</v>
      </c>
      <c r="G321" s="10">
        <v>7.6</v>
      </c>
      <c r="H321" s="10">
        <v>11</v>
      </c>
      <c r="I321" s="10">
        <v>1</v>
      </c>
      <c r="J321" s="10">
        <v>12</v>
      </c>
      <c r="K321" s="10">
        <v>11</v>
      </c>
      <c r="L321" s="10">
        <v>0</v>
      </c>
      <c r="M321" s="10">
        <v>0</v>
      </c>
      <c r="N321" s="10">
        <v>0</v>
      </c>
      <c r="O321" s="10">
        <v>0</v>
      </c>
      <c r="P321" s="10">
        <v>8.6999999999999993</v>
      </c>
      <c r="Q321" s="10">
        <v>8.6999999999999993</v>
      </c>
      <c r="R321" s="10">
        <v>1.1000000000000001</v>
      </c>
      <c r="S321" s="10">
        <v>15</v>
      </c>
      <c r="T321" s="10">
        <v>6</v>
      </c>
      <c r="U321" s="10">
        <v>28</v>
      </c>
      <c r="V321" s="10">
        <v>1.45</v>
      </c>
      <c r="W321" s="10">
        <v>0.13</v>
      </c>
      <c r="X321" s="10">
        <v>1.58</v>
      </c>
      <c r="Y321" s="10">
        <v>1.45</v>
      </c>
      <c r="Z321" s="10">
        <v>1.1399999999999999</v>
      </c>
      <c r="AA321" s="10">
        <v>0.15</v>
      </c>
      <c r="AB321" s="10">
        <v>1.1399999999999999</v>
      </c>
      <c r="AC321" s="10"/>
      <c r="AD321" s="2"/>
      <c r="AE321" s="1"/>
    </row>
    <row r="322" spans="1:31" hidden="1" x14ac:dyDescent="0.35">
      <c r="A322" s="15">
        <f t="shared" si="12"/>
        <v>1306</v>
      </c>
      <c r="B322" s="16">
        <v>13</v>
      </c>
      <c r="C322" s="13" t="s">
        <v>657</v>
      </c>
      <c r="D322" s="10">
        <v>5</v>
      </c>
      <c r="E322" s="10">
        <v>5</v>
      </c>
      <c r="F322" s="10">
        <v>450</v>
      </c>
      <c r="G322" s="10">
        <v>5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1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/>
      <c r="AD322" s="2"/>
      <c r="AE322" s="1"/>
    </row>
    <row r="323" spans="1:31" hidden="1" x14ac:dyDescent="0.35">
      <c r="A323" s="15">
        <f t="shared" si="12"/>
        <v>1307</v>
      </c>
      <c r="B323" s="16">
        <v>13</v>
      </c>
      <c r="C323" s="13" t="s">
        <v>691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/>
      <c r="AD323" s="2"/>
      <c r="AE323" s="1"/>
    </row>
    <row r="324" spans="1:31" hidden="1" x14ac:dyDescent="0.35">
      <c r="A324" s="15">
        <f t="shared" si="12"/>
        <v>1308</v>
      </c>
      <c r="B324" s="16">
        <v>13</v>
      </c>
      <c r="C324" s="13" t="s">
        <v>669</v>
      </c>
      <c r="D324" s="10">
        <v>3</v>
      </c>
      <c r="E324" s="10">
        <v>3</v>
      </c>
      <c r="F324" s="10">
        <v>270</v>
      </c>
      <c r="G324" s="10">
        <v>3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/>
      <c r="AD324" s="2"/>
      <c r="AE324" s="1"/>
    </row>
    <row r="325" spans="1:31" hidden="1" x14ac:dyDescent="0.35">
      <c r="A325" s="15">
        <f t="shared" si="12"/>
        <v>1309</v>
      </c>
      <c r="B325" s="16">
        <v>13</v>
      </c>
      <c r="C325" s="13" t="s">
        <v>651</v>
      </c>
      <c r="D325" s="10">
        <v>8</v>
      </c>
      <c r="E325" s="10">
        <v>5</v>
      </c>
      <c r="F325" s="10">
        <v>446</v>
      </c>
      <c r="G325" s="10">
        <v>5</v>
      </c>
      <c r="H325" s="10">
        <v>0</v>
      </c>
      <c r="I325" s="10">
        <v>3</v>
      </c>
      <c r="J325" s="10">
        <v>3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0.9</v>
      </c>
      <c r="Q325" s="10">
        <v>0.9</v>
      </c>
      <c r="R325" s="10">
        <v>2.4</v>
      </c>
      <c r="S325" s="10">
        <v>53</v>
      </c>
      <c r="T325" s="10">
        <v>17</v>
      </c>
      <c r="U325" s="10">
        <v>60</v>
      </c>
      <c r="V325" s="10">
        <v>0</v>
      </c>
      <c r="W325" s="10">
        <v>0.61</v>
      </c>
      <c r="X325" s="10">
        <v>0.61</v>
      </c>
      <c r="Y325" s="10">
        <v>0</v>
      </c>
      <c r="Z325" s="10">
        <v>0.19</v>
      </c>
      <c r="AA325" s="10">
        <v>0.49</v>
      </c>
      <c r="AB325" s="10">
        <v>0.19</v>
      </c>
      <c r="AC325" s="10"/>
      <c r="AD325" s="2"/>
      <c r="AE325" s="1"/>
    </row>
    <row r="326" spans="1:31" hidden="1" x14ac:dyDescent="0.35">
      <c r="A326" s="15">
        <f t="shared" si="12"/>
        <v>1310</v>
      </c>
      <c r="B326" s="16">
        <v>13</v>
      </c>
      <c r="C326" s="13" t="s">
        <v>671</v>
      </c>
      <c r="D326" s="10">
        <v>4</v>
      </c>
      <c r="E326" s="10">
        <v>3</v>
      </c>
      <c r="F326" s="10">
        <v>265</v>
      </c>
      <c r="G326" s="10">
        <v>2.9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2</v>
      </c>
      <c r="T326" s="10">
        <v>14</v>
      </c>
      <c r="U326" s="10">
        <v>2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/>
      <c r="AD326" s="2"/>
      <c r="AE326" s="1"/>
    </row>
    <row r="327" spans="1:31" hidden="1" x14ac:dyDescent="0.35">
      <c r="A327" s="15">
        <f t="shared" si="12"/>
        <v>1311</v>
      </c>
      <c r="B327" s="16">
        <v>13</v>
      </c>
      <c r="C327" s="13" t="s">
        <v>661</v>
      </c>
      <c r="D327" s="10">
        <v>4</v>
      </c>
      <c r="E327" s="10">
        <v>4</v>
      </c>
      <c r="F327" s="10">
        <v>339</v>
      </c>
      <c r="G327" s="10">
        <v>3.8</v>
      </c>
      <c r="H327" s="10">
        <v>0</v>
      </c>
      <c r="I327" s="10">
        <v>1</v>
      </c>
      <c r="J327" s="10">
        <v>1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0.1</v>
      </c>
      <c r="Q327" s="10">
        <v>0.1</v>
      </c>
      <c r="R327" s="10">
        <v>0.3</v>
      </c>
      <c r="S327" s="10">
        <v>3</v>
      </c>
      <c r="T327" s="10">
        <v>21</v>
      </c>
      <c r="U327" s="10">
        <v>0</v>
      </c>
      <c r="V327" s="10">
        <v>0</v>
      </c>
      <c r="W327" s="10">
        <v>0.27</v>
      </c>
      <c r="X327" s="10">
        <v>0.27</v>
      </c>
      <c r="Y327" s="10">
        <v>0</v>
      </c>
      <c r="Z327" s="10">
        <v>0.02</v>
      </c>
      <c r="AA327" s="10">
        <v>0.08</v>
      </c>
      <c r="AB327" s="10">
        <v>0.02</v>
      </c>
      <c r="AC327" s="10"/>
      <c r="AD327" s="2"/>
      <c r="AE327" s="1"/>
    </row>
    <row r="328" spans="1:31" hidden="1" x14ac:dyDescent="0.35">
      <c r="A328" s="15">
        <f t="shared" si="12"/>
        <v>1312</v>
      </c>
      <c r="B328" s="16">
        <v>13</v>
      </c>
      <c r="C328" s="13" t="s">
        <v>687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/>
      <c r="AD328" s="2"/>
      <c r="AE328" s="1"/>
    </row>
    <row r="329" spans="1:31" hidden="1" x14ac:dyDescent="0.35">
      <c r="A329" s="15">
        <f t="shared" si="12"/>
        <v>1313</v>
      </c>
      <c r="B329" s="16">
        <v>13</v>
      </c>
      <c r="C329" s="13" t="s">
        <v>693</v>
      </c>
      <c r="D329" s="10">
        <v>1</v>
      </c>
      <c r="E329" s="10">
        <v>0</v>
      </c>
      <c r="F329" s="10">
        <v>5</v>
      </c>
      <c r="G329" s="10">
        <v>0.1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1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/>
      <c r="AD329" s="2"/>
      <c r="AE329" s="1"/>
    </row>
    <row r="330" spans="1:31" hidden="1" x14ac:dyDescent="0.35">
      <c r="A330" s="15">
        <f t="shared" si="12"/>
        <v>1314</v>
      </c>
      <c r="B330" s="16">
        <v>13</v>
      </c>
      <c r="C330" s="13" t="s">
        <v>667</v>
      </c>
      <c r="D330" s="10">
        <v>6</v>
      </c>
      <c r="E330" s="10">
        <v>4</v>
      </c>
      <c r="F330" s="10">
        <v>424</v>
      </c>
      <c r="G330" s="10">
        <v>4.7</v>
      </c>
      <c r="H330" s="10">
        <v>1</v>
      </c>
      <c r="I330" s="10">
        <v>0</v>
      </c>
      <c r="J330" s="10">
        <v>1</v>
      </c>
      <c r="K330" s="10">
        <v>1</v>
      </c>
      <c r="L330" s="10">
        <v>0</v>
      </c>
      <c r="M330" s="10">
        <v>0</v>
      </c>
      <c r="N330" s="10">
        <v>1</v>
      </c>
      <c r="O330" s="10">
        <v>0</v>
      </c>
      <c r="P330" s="10">
        <v>0.2</v>
      </c>
      <c r="Q330" s="10">
        <v>0.2</v>
      </c>
      <c r="R330" s="10">
        <v>0.2</v>
      </c>
      <c r="S330" s="10">
        <v>14</v>
      </c>
      <c r="T330" s="10">
        <v>22</v>
      </c>
      <c r="U330" s="10">
        <v>16</v>
      </c>
      <c r="V330" s="10">
        <v>0.21</v>
      </c>
      <c r="W330" s="10">
        <v>0</v>
      </c>
      <c r="X330" s="10">
        <v>0.21</v>
      </c>
      <c r="Y330" s="10">
        <v>0.21</v>
      </c>
      <c r="Z330" s="10">
        <v>0.04</v>
      </c>
      <c r="AA330" s="10">
        <v>0.03</v>
      </c>
      <c r="AB330" s="10">
        <v>0.04</v>
      </c>
      <c r="AC330" s="10"/>
      <c r="AD330" s="2"/>
      <c r="AE330" s="1"/>
    </row>
    <row r="331" spans="1:31" hidden="1" x14ac:dyDescent="0.35">
      <c r="A331" s="15">
        <f t="shared" si="12"/>
        <v>1315</v>
      </c>
      <c r="B331" s="16">
        <v>13</v>
      </c>
      <c r="C331" s="13" t="s">
        <v>685</v>
      </c>
      <c r="D331" s="10">
        <v>5</v>
      </c>
      <c r="E331" s="10">
        <v>1</v>
      </c>
      <c r="F331" s="10">
        <v>205</v>
      </c>
      <c r="G331" s="10">
        <v>2.2999999999999998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0.3</v>
      </c>
      <c r="Q331" s="10">
        <v>0.3</v>
      </c>
      <c r="R331" s="10">
        <v>0.1</v>
      </c>
      <c r="S331" s="10">
        <v>4</v>
      </c>
      <c r="T331" s="10">
        <v>20</v>
      </c>
      <c r="U331" s="10">
        <v>2</v>
      </c>
      <c r="V331" s="10">
        <v>0</v>
      </c>
      <c r="W331" s="10">
        <v>0</v>
      </c>
      <c r="X331" s="10">
        <v>0</v>
      </c>
      <c r="Y331" s="10">
        <v>0</v>
      </c>
      <c r="Z331" s="10">
        <v>0.12</v>
      </c>
      <c r="AA331" s="10">
        <v>0.04</v>
      </c>
      <c r="AB331" s="10">
        <v>0.12</v>
      </c>
      <c r="AC331" s="10"/>
      <c r="AD331" s="2"/>
      <c r="AE331" s="1"/>
    </row>
    <row r="332" spans="1:31" hidden="1" x14ac:dyDescent="0.35">
      <c r="A332" s="15">
        <f t="shared" si="12"/>
        <v>1316</v>
      </c>
      <c r="B332" s="16">
        <v>13</v>
      </c>
      <c r="C332" s="13" t="s">
        <v>649</v>
      </c>
      <c r="D332" s="10">
        <v>7</v>
      </c>
      <c r="E332" s="10">
        <v>5</v>
      </c>
      <c r="F332" s="10">
        <v>476</v>
      </c>
      <c r="G332" s="10">
        <v>5.3</v>
      </c>
      <c r="H332" s="10">
        <v>0</v>
      </c>
      <c r="I332" s="10">
        <v>1</v>
      </c>
      <c r="J332" s="10">
        <v>1</v>
      </c>
      <c r="K332" s="10">
        <v>0</v>
      </c>
      <c r="L332" s="10">
        <v>0</v>
      </c>
      <c r="M332" s="10">
        <v>0</v>
      </c>
      <c r="N332" s="10">
        <v>2</v>
      </c>
      <c r="O332" s="10">
        <v>0</v>
      </c>
      <c r="P332" s="10">
        <v>0.4</v>
      </c>
      <c r="Q332" s="10">
        <v>0.4</v>
      </c>
      <c r="R332" s="10">
        <v>0.4</v>
      </c>
      <c r="S332" s="10">
        <v>16</v>
      </c>
      <c r="T332" s="10">
        <v>10</v>
      </c>
      <c r="U332" s="10">
        <v>20</v>
      </c>
      <c r="V332" s="10">
        <v>0</v>
      </c>
      <c r="W332" s="10">
        <v>0.19</v>
      </c>
      <c r="X332" s="10">
        <v>0.19</v>
      </c>
      <c r="Y332" s="10">
        <v>0</v>
      </c>
      <c r="Z332" s="10">
        <v>7.0000000000000007E-2</v>
      </c>
      <c r="AA332" s="10">
        <v>0.08</v>
      </c>
      <c r="AB332" s="10">
        <v>7.0000000000000007E-2</v>
      </c>
      <c r="AC332" s="10"/>
      <c r="AD332" s="2"/>
      <c r="AE332" s="1"/>
    </row>
    <row r="333" spans="1:31" hidden="1" x14ac:dyDescent="0.35">
      <c r="A333" s="15">
        <f t="shared" si="12"/>
        <v>1317</v>
      </c>
      <c r="B333" s="16">
        <v>13</v>
      </c>
      <c r="C333" s="13" t="s">
        <v>665</v>
      </c>
      <c r="D333" s="10">
        <v>7</v>
      </c>
      <c r="E333" s="10">
        <v>4</v>
      </c>
      <c r="F333" s="10">
        <v>438</v>
      </c>
      <c r="G333" s="10">
        <v>4.9000000000000004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1</v>
      </c>
      <c r="O333" s="10">
        <v>0</v>
      </c>
      <c r="P333" s="10">
        <v>0.1</v>
      </c>
      <c r="Q333" s="10">
        <v>0.1</v>
      </c>
      <c r="R333" s="10">
        <v>0.4</v>
      </c>
      <c r="S333" s="10">
        <v>5</v>
      </c>
      <c r="T333" s="10">
        <v>28</v>
      </c>
      <c r="U333" s="10">
        <v>5</v>
      </c>
      <c r="V333" s="10">
        <v>0</v>
      </c>
      <c r="W333" s="10">
        <v>0</v>
      </c>
      <c r="X333" s="10">
        <v>0</v>
      </c>
      <c r="Y333" s="10">
        <v>0</v>
      </c>
      <c r="Z333" s="10">
        <v>0.02</v>
      </c>
      <c r="AA333" s="10">
        <v>7.0000000000000007E-2</v>
      </c>
      <c r="AB333" s="10">
        <v>0.02</v>
      </c>
      <c r="AC333" s="10"/>
      <c r="AD333" s="2"/>
      <c r="AE333" s="1"/>
    </row>
    <row r="334" spans="1:31" hidden="1" x14ac:dyDescent="0.35">
      <c r="A334" s="15">
        <f t="shared" si="12"/>
        <v>1318</v>
      </c>
      <c r="B334" s="16">
        <v>13</v>
      </c>
      <c r="C334" s="13" t="s">
        <v>681</v>
      </c>
      <c r="D334" s="10">
        <v>3</v>
      </c>
      <c r="E334" s="10">
        <v>2</v>
      </c>
      <c r="F334" s="10">
        <v>149</v>
      </c>
      <c r="G334" s="10">
        <v>1.7</v>
      </c>
      <c r="H334" s="10">
        <v>0</v>
      </c>
      <c r="I334" s="10">
        <v>1</v>
      </c>
      <c r="J334" s="10">
        <v>1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0.8</v>
      </c>
      <c r="Q334" s="10">
        <v>0.8</v>
      </c>
      <c r="R334" s="10">
        <v>1</v>
      </c>
      <c r="S334" s="10">
        <v>7</v>
      </c>
      <c r="T334" s="10">
        <v>5</v>
      </c>
      <c r="U334" s="10">
        <v>14</v>
      </c>
      <c r="V334" s="10">
        <v>0</v>
      </c>
      <c r="W334" s="10">
        <v>0.6</v>
      </c>
      <c r="X334" s="10">
        <v>0.6</v>
      </c>
      <c r="Y334" s="10">
        <v>0</v>
      </c>
      <c r="Z334" s="10">
        <v>0.5</v>
      </c>
      <c r="AA334" s="10">
        <v>0.57999999999999996</v>
      </c>
      <c r="AB334" s="10">
        <v>0.5</v>
      </c>
      <c r="AC334" s="10"/>
      <c r="AD334" s="2"/>
      <c r="AE334" s="1"/>
    </row>
    <row r="335" spans="1:31" hidden="1" x14ac:dyDescent="0.35">
      <c r="A335" s="15">
        <f t="shared" si="12"/>
        <v>1319</v>
      </c>
      <c r="B335" s="16">
        <v>13</v>
      </c>
      <c r="C335" s="13" t="s">
        <v>655</v>
      </c>
      <c r="D335" s="10">
        <v>7</v>
      </c>
      <c r="E335" s="10">
        <v>4</v>
      </c>
      <c r="F335" s="10">
        <v>394</v>
      </c>
      <c r="G335" s="10">
        <v>4.4000000000000004</v>
      </c>
      <c r="H335" s="10">
        <v>0</v>
      </c>
      <c r="I335" s="10">
        <v>1</v>
      </c>
      <c r="J335" s="10">
        <v>1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0.4</v>
      </c>
      <c r="Q335" s="10">
        <v>0.4</v>
      </c>
      <c r="R335" s="10">
        <v>0.6</v>
      </c>
      <c r="S335" s="10">
        <v>15</v>
      </c>
      <c r="T335" s="10">
        <v>16</v>
      </c>
      <c r="U335" s="10">
        <v>47</v>
      </c>
      <c r="V335" s="10">
        <v>0</v>
      </c>
      <c r="W335" s="10">
        <v>0.23</v>
      </c>
      <c r="X335" s="10">
        <v>0.23</v>
      </c>
      <c r="Y335" s="10">
        <v>0</v>
      </c>
      <c r="Z335" s="10">
        <v>0.08</v>
      </c>
      <c r="AA335" s="10">
        <v>0.14000000000000001</v>
      </c>
      <c r="AB335" s="10">
        <v>0.08</v>
      </c>
      <c r="AC335" s="10"/>
      <c r="AD335" s="2"/>
      <c r="AE335" s="1"/>
    </row>
    <row r="336" spans="1:31" hidden="1" x14ac:dyDescent="0.35">
      <c r="A336" s="15">
        <f t="shared" si="12"/>
        <v>1320</v>
      </c>
      <c r="B336" s="16">
        <v>13</v>
      </c>
      <c r="C336" s="13" t="s">
        <v>659</v>
      </c>
      <c r="D336" s="10">
        <v>6</v>
      </c>
      <c r="E336" s="10">
        <v>5</v>
      </c>
      <c r="F336" s="10">
        <v>443</v>
      </c>
      <c r="G336" s="10">
        <v>4.9000000000000004</v>
      </c>
      <c r="H336" s="10">
        <v>1</v>
      </c>
      <c r="I336" s="10">
        <v>0</v>
      </c>
      <c r="J336" s="10">
        <v>1</v>
      </c>
      <c r="K336" s="10">
        <v>1</v>
      </c>
      <c r="L336" s="10">
        <v>0</v>
      </c>
      <c r="M336" s="10">
        <v>0</v>
      </c>
      <c r="N336" s="10">
        <v>1</v>
      </c>
      <c r="O336" s="10">
        <v>0</v>
      </c>
      <c r="P336" s="10">
        <v>0.8</v>
      </c>
      <c r="Q336" s="10">
        <v>0.8</v>
      </c>
      <c r="R336" s="10">
        <v>0.7</v>
      </c>
      <c r="S336" s="10">
        <v>6</v>
      </c>
      <c r="T336" s="10">
        <v>26</v>
      </c>
      <c r="U336" s="10">
        <v>23</v>
      </c>
      <c r="V336" s="10">
        <v>0.2</v>
      </c>
      <c r="W336" s="10">
        <v>0</v>
      </c>
      <c r="X336" s="10">
        <v>0.2</v>
      </c>
      <c r="Y336" s="10">
        <v>0.2</v>
      </c>
      <c r="Z336" s="10">
        <v>0.17</v>
      </c>
      <c r="AA336" s="10">
        <v>0.14000000000000001</v>
      </c>
      <c r="AB336" s="10">
        <v>0.17</v>
      </c>
      <c r="AC336" s="10"/>
      <c r="AD336" s="2"/>
      <c r="AE336" s="1"/>
    </row>
    <row r="337" spans="1:31" hidden="1" x14ac:dyDescent="0.35">
      <c r="A337" s="15">
        <f t="shared" si="12"/>
        <v>1321</v>
      </c>
      <c r="B337" s="16">
        <v>13</v>
      </c>
      <c r="C337" s="13" t="s">
        <v>675</v>
      </c>
      <c r="D337" s="10">
        <v>3</v>
      </c>
      <c r="E337" s="10">
        <v>3</v>
      </c>
      <c r="F337" s="10">
        <v>202</v>
      </c>
      <c r="G337" s="10">
        <v>2.2000000000000002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1</v>
      </c>
      <c r="O337" s="10">
        <v>0</v>
      </c>
      <c r="P337" s="10">
        <v>0</v>
      </c>
      <c r="Q337" s="10">
        <v>0</v>
      </c>
      <c r="R337" s="10">
        <v>0.2</v>
      </c>
      <c r="S337" s="10">
        <v>6</v>
      </c>
      <c r="T337" s="10">
        <v>7</v>
      </c>
      <c r="U337" s="10">
        <v>8</v>
      </c>
      <c r="V337" s="10">
        <v>0</v>
      </c>
      <c r="W337" s="10">
        <v>0</v>
      </c>
      <c r="X337" s="10">
        <v>0</v>
      </c>
      <c r="Y337" s="10">
        <v>0</v>
      </c>
      <c r="Z337" s="10">
        <v>0.02</v>
      </c>
      <c r="AA337" s="10">
        <v>0.09</v>
      </c>
      <c r="AB337" s="10">
        <v>0.02</v>
      </c>
      <c r="AC337" s="10"/>
      <c r="AD337" s="2"/>
      <c r="AE337" s="1"/>
    </row>
    <row r="338" spans="1:31" hidden="1" x14ac:dyDescent="0.35">
      <c r="A338" s="15">
        <f t="shared" si="12"/>
        <v>1322</v>
      </c>
      <c r="B338" s="16">
        <v>13</v>
      </c>
      <c r="C338" s="13" t="s">
        <v>683</v>
      </c>
      <c r="D338" s="10">
        <v>3</v>
      </c>
      <c r="E338" s="10">
        <v>1</v>
      </c>
      <c r="F338" s="10">
        <v>77</v>
      </c>
      <c r="G338" s="10">
        <v>0.9</v>
      </c>
      <c r="H338" s="10">
        <v>1</v>
      </c>
      <c r="I338" s="10">
        <v>0</v>
      </c>
      <c r="J338" s="10">
        <v>1</v>
      </c>
      <c r="K338" s="10">
        <v>1</v>
      </c>
      <c r="L338" s="10">
        <v>0</v>
      </c>
      <c r="M338" s="10">
        <v>0</v>
      </c>
      <c r="N338" s="10">
        <v>0</v>
      </c>
      <c r="O338" s="10">
        <v>0</v>
      </c>
      <c r="P338" s="10">
        <v>0.2</v>
      </c>
      <c r="Q338" s="10">
        <v>0.2</v>
      </c>
      <c r="R338" s="10">
        <v>0.9</v>
      </c>
      <c r="S338" s="10">
        <v>3</v>
      </c>
      <c r="T338" s="10">
        <v>6</v>
      </c>
      <c r="U338" s="10">
        <v>4</v>
      </c>
      <c r="V338" s="10">
        <v>1.17</v>
      </c>
      <c r="W338" s="10">
        <v>0</v>
      </c>
      <c r="X338" s="10">
        <v>1.17</v>
      </c>
      <c r="Y338" s="10">
        <v>1.17</v>
      </c>
      <c r="Z338" s="10">
        <v>0.23</v>
      </c>
      <c r="AA338" s="10">
        <v>1</v>
      </c>
      <c r="AB338" s="10">
        <v>0.23</v>
      </c>
      <c r="AC338" s="10"/>
      <c r="AD338" s="2"/>
      <c r="AE338" s="1"/>
    </row>
    <row r="339" spans="1:31" hidden="1" x14ac:dyDescent="0.35">
      <c r="A339" s="15">
        <f t="shared" si="12"/>
        <v>1323</v>
      </c>
      <c r="B339" s="16">
        <v>13</v>
      </c>
      <c r="C339" s="13" t="s">
        <v>677</v>
      </c>
      <c r="D339" s="10">
        <v>5</v>
      </c>
      <c r="E339" s="10">
        <v>2</v>
      </c>
      <c r="F339" s="10">
        <v>175</v>
      </c>
      <c r="G339" s="10">
        <v>1.9</v>
      </c>
      <c r="H339" s="10">
        <v>0</v>
      </c>
      <c r="I339" s="10">
        <v>1</v>
      </c>
      <c r="J339" s="10">
        <v>1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1</v>
      </c>
      <c r="S339" s="10">
        <v>2</v>
      </c>
      <c r="T339" s="10">
        <v>19</v>
      </c>
      <c r="U339" s="10">
        <v>9</v>
      </c>
      <c r="V339" s="10">
        <v>0</v>
      </c>
      <c r="W339" s="10">
        <v>0.51</v>
      </c>
      <c r="X339" s="10">
        <v>0.51</v>
      </c>
      <c r="Y339" s="10">
        <v>0</v>
      </c>
      <c r="Z339" s="10">
        <v>0.01</v>
      </c>
      <c r="AA339" s="10">
        <v>0.52</v>
      </c>
      <c r="AB339" s="10">
        <v>0.01</v>
      </c>
      <c r="AC339" s="10"/>
      <c r="AD339" s="5"/>
      <c r="AE339" s="1"/>
    </row>
    <row r="340" spans="1:31" hidden="1" x14ac:dyDescent="0.35">
      <c r="A340" s="15">
        <f t="shared" si="12"/>
        <v>1324</v>
      </c>
      <c r="B340" s="16">
        <v>13</v>
      </c>
      <c r="C340" s="13" t="s">
        <v>663</v>
      </c>
      <c r="D340" s="10">
        <v>5</v>
      </c>
      <c r="E340" s="10">
        <v>4</v>
      </c>
      <c r="F340" s="10">
        <v>292</v>
      </c>
      <c r="G340" s="10">
        <v>3.2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0.1</v>
      </c>
      <c r="Q340" s="10">
        <v>0.1</v>
      </c>
      <c r="R340" s="10">
        <v>0.1</v>
      </c>
      <c r="S340" s="10">
        <v>4</v>
      </c>
      <c r="T340" s="10">
        <v>19</v>
      </c>
      <c r="U340" s="10">
        <v>5</v>
      </c>
      <c r="V340" s="10">
        <v>0</v>
      </c>
      <c r="W340" s="10">
        <v>0</v>
      </c>
      <c r="X340" s="10">
        <v>0</v>
      </c>
      <c r="Y340" s="10">
        <v>0</v>
      </c>
      <c r="Z340" s="10">
        <v>0.04</v>
      </c>
      <c r="AA340" s="10">
        <v>0.03</v>
      </c>
      <c r="AB340" s="10">
        <v>0.04</v>
      </c>
      <c r="AC340" s="10"/>
      <c r="AD340" s="5"/>
      <c r="AE340" s="1"/>
    </row>
    <row r="341" spans="1:31" hidden="1" x14ac:dyDescent="0.35">
      <c r="A341" s="15">
        <f t="shared" si="12"/>
        <v>1325</v>
      </c>
      <c r="B341" s="16">
        <v>13</v>
      </c>
      <c r="C341" s="13" t="s">
        <v>647</v>
      </c>
      <c r="D341" s="10">
        <v>8</v>
      </c>
      <c r="E341" s="10">
        <v>7</v>
      </c>
      <c r="F341" s="10">
        <v>636</v>
      </c>
      <c r="G341" s="10">
        <v>7.1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9</v>
      </c>
      <c r="T341" s="10">
        <v>26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/>
      <c r="AD341" s="5"/>
      <c r="AE341" s="1"/>
    </row>
    <row r="342" spans="1:31" hidden="1" x14ac:dyDescent="0.35">
      <c r="A342" s="15">
        <f t="shared" si="12"/>
        <v>1326</v>
      </c>
      <c r="B342" s="16">
        <v>13</v>
      </c>
      <c r="C342" s="13" t="s">
        <v>695</v>
      </c>
      <c r="D342" s="10">
        <v>0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/>
      <c r="AD342" s="5"/>
      <c r="AE342" s="1"/>
    </row>
    <row r="343" spans="1:31" hidden="1" x14ac:dyDescent="0.35">
      <c r="A343" s="15">
        <f t="shared" si="12"/>
        <v>1327</v>
      </c>
      <c r="B343" s="16">
        <v>13</v>
      </c>
      <c r="C343" s="13" t="s">
        <v>679</v>
      </c>
      <c r="D343" s="10">
        <v>5</v>
      </c>
      <c r="E343" s="10">
        <v>3</v>
      </c>
      <c r="F343" s="10">
        <v>253</v>
      </c>
      <c r="G343" s="10">
        <v>2.8</v>
      </c>
      <c r="H343" s="10">
        <v>0</v>
      </c>
      <c r="I343" s="10">
        <v>1</v>
      </c>
      <c r="J343" s="10">
        <v>1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0.2</v>
      </c>
      <c r="Q343" s="10">
        <v>0.2</v>
      </c>
      <c r="R343" s="10">
        <v>0.3</v>
      </c>
      <c r="S343" s="10">
        <v>14</v>
      </c>
      <c r="T343" s="10">
        <v>6</v>
      </c>
      <c r="U343" s="10">
        <v>23</v>
      </c>
      <c r="V343" s="10">
        <v>0</v>
      </c>
      <c r="W343" s="10">
        <v>0.36</v>
      </c>
      <c r="X343" s="10">
        <v>0.36</v>
      </c>
      <c r="Y343" s="10">
        <v>0</v>
      </c>
      <c r="Z343" s="10">
        <v>0.06</v>
      </c>
      <c r="AA343" s="10">
        <v>0.09</v>
      </c>
      <c r="AB343" s="10">
        <v>0.06</v>
      </c>
      <c r="AC343" s="10"/>
      <c r="AD343" s="5"/>
      <c r="AE343" s="1"/>
    </row>
    <row r="344" spans="1:31" hidden="1" x14ac:dyDescent="0.35">
      <c r="A344" s="15">
        <f t="shared" si="12"/>
        <v>1328</v>
      </c>
      <c r="B344" s="16">
        <v>13</v>
      </c>
      <c r="C344" s="13" t="s">
        <v>700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/>
      <c r="AD344" s="5"/>
      <c r="AE344" s="1"/>
    </row>
    <row r="345" spans="1:31" hidden="1" x14ac:dyDescent="0.35">
      <c r="A345" s="15">
        <f t="shared" si="12"/>
        <v>1329</v>
      </c>
      <c r="B345" s="16">
        <v>13</v>
      </c>
      <c r="C345" s="13" t="s">
        <v>1127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/>
      <c r="AD345" s="5"/>
      <c r="AE345" s="1"/>
    </row>
    <row r="346" spans="1:31" hidden="1" x14ac:dyDescent="0.35">
      <c r="A346" s="15">
        <f t="shared" si="12"/>
        <v>1330</v>
      </c>
      <c r="B346" s="16">
        <v>13</v>
      </c>
      <c r="C346" s="13" t="s">
        <v>643</v>
      </c>
      <c r="D346" s="10">
        <v>8</v>
      </c>
      <c r="E346" s="10">
        <v>8</v>
      </c>
      <c r="F346" s="10">
        <v>665</v>
      </c>
      <c r="G346" s="10">
        <v>7.4</v>
      </c>
      <c r="H346" s="10">
        <v>1</v>
      </c>
      <c r="I346" s="10">
        <v>2</v>
      </c>
      <c r="J346" s="10">
        <v>3</v>
      </c>
      <c r="K346" s="10">
        <v>1</v>
      </c>
      <c r="L346" s="10">
        <v>0</v>
      </c>
      <c r="M346" s="10">
        <v>0</v>
      </c>
      <c r="N346" s="10">
        <v>1</v>
      </c>
      <c r="O346" s="10">
        <v>0</v>
      </c>
      <c r="P346" s="10">
        <v>1.3</v>
      </c>
      <c r="Q346" s="10">
        <v>1.3</v>
      </c>
      <c r="R346" s="10">
        <v>1.4</v>
      </c>
      <c r="S346" s="10">
        <v>18</v>
      </c>
      <c r="T346" s="10">
        <v>30</v>
      </c>
      <c r="U346" s="10">
        <v>27</v>
      </c>
      <c r="V346" s="10">
        <v>0.14000000000000001</v>
      </c>
      <c r="W346" s="10">
        <v>0.27</v>
      </c>
      <c r="X346" s="10">
        <v>0.41</v>
      </c>
      <c r="Y346" s="10">
        <v>0.14000000000000001</v>
      </c>
      <c r="Z346" s="10">
        <v>0.18</v>
      </c>
      <c r="AA346" s="10">
        <v>0.19</v>
      </c>
      <c r="AB346" s="10">
        <v>0.18</v>
      </c>
      <c r="AC346" s="10"/>
      <c r="AD346" s="2"/>
      <c r="AE346" s="1"/>
    </row>
    <row r="347" spans="1:31" hidden="1" x14ac:dyDescent="0.35">
      <c r="A347" s="15">
        <v>1401</v>
      </c>
      <c r="B347" s="16">
        <v>14</v>
      </c>
      <c r="C347" s="13" t="s">
        <v>711</v>
      </c>
      <c r="D347" s="10">
        <v>6</v>
      </c>
      <c r="E347" s="10">
        <v>6</v>
      </c>
      <c r="F347" s="10">
        <v>540</v>
      </c>
      <c r="G347" s="10">
        <v>6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0.2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0.04</v>
      </c>
      <c r="AB347" s="10">
        <v>0</v>
      </c>
      <c r="AC347" s="10"/>
      <c r="AD347" s="2"/>
      <c r="AE347" s="1"/>
    </row>
    <row r="348" spans="1:31" hidden="1" x14ac:dyDescent="0.35">
      <c r="A348" s="15">
        <f>A347+1</f>
        <v>1402</v>
      </c>
      <c r="B348" s="16">
        <v>14</v>
      </c>
      <c r="C348" s="13" t="s">
        <v>716</v>
      </c>
      <c r="D348" s="10">
        <v>7</v>
      </c>
      <c r="E348" s="10">
        <v>6</v>
      </c>
      <c r="F348" s="10">
        <v>505</v>
      </c>
      <c r="G348" s="10">
        <v>5.6</v>
      </c>
      <c r="H348" s="10">
        <v>0</v>
      </c>
      <c r="I348" s="10">
        <v>1</v>
      </c>
      <c r="J348" s="10">
        <v>1</v>
      </c>
      <c r="K348" s="10">
        <v>0</v>
      </c>
      <c r="L348" s="10">
        <v>0</v>
      </c>
      <c r="M348" s="10">
        <v>0</v>
      </c>
      <c r="N348" s="10">
        <v>1</v>
      </c>
      <c r="O348" s="10">
        <v>0</v>
      </c>
      <c r="P348" s="10">
        <v>1.9</v>
      </c>
      <c r="Q348" s="10">
        <v>1.9</v>
      </c>
      <c r="R348" s="10">
        <v>1.2</v>
      </c>
      <c r="S348" s="10">
        <v>34</v>
      </c>
      <c r="T348" s="10">
        <v>24</v>
      </c>
      <c r="U348" s="10">
        <v>40</v>
      </c>
      <c r="V348" s="10">
        <v>0</v>
      </c>
      <c r="W348" s="10">
        <v>0.18</v>
      </c>
      <c r="X348" s="10">
        <v>0.18</v>
      </c>
      <c r="Y348" s="10">
        <v>0</v>
      </c>
      <c r="Z348" s="10">
        <v>0.34</v>
      </c>
      <c r="AA348" s="10">
        <v>0.22</v>
      </c>
      <c r="AB348" s="10">
        <v>0.34</v>
      </c>
      <c r="AC348" s="10"/>
      <c r="AD348" s="2"/>
      <c r="AE348" s="1"/>
    </row>
    <row r="349" spans="1:31" hidden="1" x14ac:dyDescent="0.35">
      <c r="A349" s="15">
        <f t="shared" ref="A349:A370" si="13">A348+1</f>
        <v>1403</v>
      </c>
      <c r="B349" s="16">
        <v>14</v>
      </c>
      <c r="C349" s="13" t="s">
        <v>747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/>
      <c r="AD349" s="2"/>
      <c r="AE349" s="1"/>
    </row>
    <row r="350" spans="1:31" hidden="1" x14ac:dyDescent="0.35">
      <c r="A350" s="15">
        <f t="shared" si="13"/>
        <v>1404</v>
      </c>
      <c r="B350" s="16">
        <v>14</v>
      </c>
      <c r="C350" s="13" t="s">
        <v>739</v>
      </c>
      <c r="D350" s="10">
        <v>1</v>
      </c>
      <c r="E350" s="10">
        <v>0</v>
      </c>
      <c r="F350" s="10">
        <v>4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/>
      <c r="AD350" s="2"/>
      <c r="AE350" s="1"/>
    </row>
    <row r="351" spans="1:31" hidden="1" x14ac:dyDescent="0.35">
      <c r="A351" s="15">
        <f t="shared" si="13"/>
        <v>1405</v>
      </c>
      <c r="B351" s="16">
        <v>14</v>
      </c>
      <c r="C351" s="13" t="s">
        <v>720</v>
      </c>
      <c r="D351" s="10">
        <v>8</v>
      </c>
      <c r="E351" s="10">
        <v>4</v>
      </c>
      <c r="F351" s="10">
        <v>417</v>
      </c>
      <c r="G351" s="10">
        <v>4.5999999999999996</v>
      </c>
      <c r="H351" s="10">
        <v>2</v>
      </c>
      <c r="I351" s="10">
        <v>0</v>
      </c>
      <c r="J351" s="10">
        <v>2</v>
      </c>
      <c r="K351" s="10">
        <v>2</v>
      </c>
      <c r="L351" s="10">
        <v>0</v>
      </c>
      <c r="M351" s="10">
        <v>0</v>
      </c>
      <c r="N351" s="10">
        <v>0</v>
      </c>
      <c r="O351" s="10">
        <v>0</v>
      </c>
      <c r="P351" s="10">
        <v>1.6</v>
      </c>
      <c r="Q351" s="10">
        <v>1.6</v>
      </c>
      <c r="R351" s="10">
        <v>0.3</v>
      </c>
      <c r="S351" s="10">
        <v>3</v>
      </c>
      <c r="T351" s="10">
        <v>6</v>
      </c>
      <c r="U351" s="10">
        <v>18</v>
      </c>
      <c r="V351" s="10">
        <v>0.43</v>
      </c>
      <c r="W351" s="10">
        <v>0</v>
      </c>
      <c r="X351" s="10">
        <v>0.43</v>
      </c>
      <c r="Y351" s="10">
        <v>0.43</v>
      </c>
      <c r="Z351" s="10">
        <v>0.35</v>
      </c>
      <c r="AA351" s="10">
        <v>0.06</v>
      </c>
      <c r="AB351" s="10">
        <v>0.35</v>
      </c>
      <c r="AC351" s="10"/>
      <c r="AD351" s="2"/>
      <c r="AE351" s="1"/>
    </row>
    <row r="352" spans="1:31" hidden="1" x14ac:dyDescent="0.35">
      <c r="A352" s="15">
        <f t="shared" si="13"/>
        <v>1406</v>
      </c>
      <c r="B352" s="16">
        <v>14</v>
      </c>
      <c r="C352" s="13" t="s">
        <v>705</v>
      </c>
      <c r="D352" s="10">
        <v>8</v>
      </c>
      <c r="E352" s="10">
        <v>8</v>
      </c>
      <c r="F352" s="10">
        <v>710</v>
      </c>
      <c r="G352" s="10">
        <v>7.9</v>
      </c>
      <c r="H352" s="10">
        <v>2</v>
      </c>
      <c r="I352" s="10">
        <v>1</v>
      </c>
      <c r="J352" s="10">
        <v>3</v>
      </c>
      <c r="K352" s="10">
        <v>1</v>
      </c>
      <c r="L352" s="10">
        <v>1</v>
      </c>
      <c r="M352" s="10">
        <v>3</v>
      </c>
      <c r="N352" s="10">
        <v>2</v>
      </c>
      <c r="O352" s="10">
        <v>0</v>
      </c>
      <c r="P352" s="10">
        <v>3.9</v>
      </c>
      <c r="Q352" s="10">
        <v>1.5</v>
      </c>
      <c r="R352" s="10">
        <v>1.8</v>
      </c>
      <c r="S352" s="10">
        <v>12</v>
      </c>
      <c r="T352" s="10">
        <v>64</v>
      </c>
      <c r="U352" s="10">
        <v>24</v>
      </c>
      <c r="V352" s="10">
        <v>0.25</v>
      </c>
      <c r="W352" s="10">
        <v>0.13</v>
      </c>
      <c r="X352" s="10">
        <v>0.38</v>
      </c>
      <c r="Y352" s="10">
        <v>0.13</v>
      </c>
      <c r="Z352" s="10">
        <v>0.49</v>
      </c>
      <c r="AA352" s="10">
        <v>0.23</v>
      </c>
      <c r="AB352" s="10">
        <v>0.2</v>
      </c>
      <c r="AC352" s="10"/>
      <c r="AD352" s="2"/>
      <c r="AE352" s="1"/>
    </row>
    <row r="353" spans="1:31" hidden="1" x14ac:dyDescent="0.35">
      <c r="A353" s="15">
        <f t="shared" si="13"/>
        <v>1407</v>
      </c>
      <c r="B353" s="16">
        <v>14</v>
      </c>
      <c r="C353" s="13" t="s">
        <v>709</v>
      </c>
      <c r="D353" s="10">
        <v>8</v>
      </c>
      <c r="E353" s="10">
        <v>8</v>
      </c>
      <c r="F353" s="10">
        <v>685</v>
      </c>
      <c r="G353" s="10">
        <v>7.6</v>
      </c>
      <c r="H353" s="10">
        <v>2</v>
      </c>
      <c r="I353" s="10">
        <v>1</v>
      </c>
      <c r="J353" s="10">
        <v>3</v>
      </c>
      <c r="K353" s="10">
        <v>2</v>
      </c>
      <c r="L353" s="10">
        <v>0</v>
      </c>
      <c r="M353" s="10">
        <v>0</v>
      </c>
      <c r="N353" s="10">
        <v>0</v>
      </c>
      <c r="O353" s="10">
        <v>0</v>
      </c>
      <c r="P353" s="10">
        <v>2.2999999999999998</v>
      </c>
      <c r="Q353" s="10">
        <v>2.2999999999999998</v>
      </c>
      <c r="R353" s="10">
        <v>2</v>
      </c>
      <c r="S353" s="10">
        <v>22</v>
      </c>
      <c r="T353" s="10">
        <v>16</v>
      </c>
      <c r="U353" s="10">
        <v>70</v>
      </c>
      <c r="V353" s="10">
        <v>0.26</v>
      </c>
      <c r="W353" s="10">
        <v>0.13</v>
      </c>
      <c r="X353" s="10">
        <v>0.39</v>
      </c>
      <c r="Y353" s="10">
        <v>0.26</v>
      </c>
      <c r="Z353" s="10">
        <v>0.31</v>
      </c>
      <c r="AA353" s="10">
        <v>0.27</v>
      </c>
      <c r="AB353" s="10">
        <v>0.31</v>
      </c>
      <c r="AC353" s="10"/>
      <c r="AD353" s="2"/>
      <c r="AE353" s="1"/>
    </row>
    <row r="354" spans="1:31" hidden="1" x14ac:dyDescent="0.35">
      <c r="A354" s="15">
        <f t="shared" si="13"/>
        <v>1408</v>
      </c>
      <c r="B354" s="16">
        <v>14</v>
      </c>
      <c r="C354" s="13" t="s">
        <v>718</v>
      </c>
      <c r="D354" s="10">
        <v>7</v>
      </c>
      <c r="E354" s="10">
        <v>6</v>
      </c>
      <c r="F354" s="10">
        <v>384</v>
      </c>
      <c r="G354" s="10">
        <v>4.3</v>
      </c>
      <c r="H354" s="10">
        <v>1</v>
      </c>
      <c r="I354" s="10">
        <v>0</v>
      </c>
      <c r="J354" s="10">
        <v>1</v>
      </c>
      <c r="K354" s="10">
        <v>1</v>
      </c>
      <c r="L354" s="10">
        <v>0</v>
      </c>
      <c r="M354" s="10">
        <v>0</v>
      </c>
      <c r="N354" s="10">
        <v>5</v>
      </c>
      <c r="O354" s="10">
        <v>1</v>
      </c>
      <c r="P354" s="10">
        <v>1</v>
      </c>
      <c r="Q354" s="10">
        <v>1</v>
      </c>
      <c r="R354" s="10">
        <v>0.2</v>
      </c>
      <c r="S354" s="10">
        <v>0</v>
      </c>
      <c r="T354" s="10">
        <v>23</v>
      </c>
      <c r="U354" s="10">
        <v>6</v>
      </c>
      <c r="V354" s="10">
        <v>0.23</v>
      </c>
      <c r="W354" s="10">
        <v>0</v>
      </c>
      <c r="X354" s="10">
        <v>0.23</v>
      </c>
      <c r="Y354" s="10">
        <v>0.23</v>
      </c>
      <c r="Z354" s="10">
        <v>0.24</v>
      </c>
      <c r="AA354" s="10">
        <v>0.05</v>
      </c>
      <c r="AB354" s="10">
        <v>0.24</v>
      </c>
      <c r="AC354" s="10"/>
      <c r="AD354" s="2"/>
      <c r="AE354" s="1"/>
    </row>
    <row r="355" spans="1:31" hidden="1" x14ac:dyDescent="0.35">
      <c r="A355" s="15">
        <f t="shared" si="13"/>
        <v>1409</v>
      </c>
      <c r="B355" s="16">
        <v>14</v>
      </c>
      <c r="C355" s="13" t="s">
        <v>745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/>
      <c r="AD355" s="2"/>
      <c r="AE355" s="1"/>
    </row>
    <row r="356" spans="1:31" hidden="1" x14ac:dyDescent="0.35">
      <c r="A356" s="15">
        <f t="shared" si="13"/>
        <v>1410</v>
      </c>
      <c r="B356" s="16">
        <v>14</v>
      </c>
      <c r="C356" s="13" t="s">
        <v>724</v>
      </c>
      <c r="D356" s="10">
        <v>6</v>
      </c>
      <c r="E356" s="10">
        <v>5</v>
      </c>
      <c r="F356" s="10">
        <v>426</v>
      </c>
      <c r="G356" s="10">
        <v>4.7</v>
      </c>
      <c r="H356" s="10">
        <v>0</v>
      </c>
      <c r="I356" s="10">
        <v>1</v>
      </c>
      <c r="J356" s="10">
        <v>1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0.1</v>
      </c>
      <c r="Q356" s="10">
        <v>0.1</v>
      </c>
      <c r="R356" s="10">
        <v>0.9</v>
      </c>
      <c r="S356" s="10">
        <v>14</v>
      </c>
      <c r="T356" s="10">
        <v>12</v>
      </c>
      <c r="U356" s="10">
        <v>33</v>
      </c>
      <c r="V356" s="10">
        <v>0</v>
      </c>
      <c r="W356" s="10">
        <v>0.21</v>
      </c>
      <c r="X356" s="10">
        <v>0.21</v>
      </c>
      <c r="Y356" s="10">
        <v>0</v>
      </c>
      <c r="Z356" s="10">
        <v>0.01</v>
      </c>
      <c r="AA356" s="10">
        <v>0.2</v>
      </c>
      <c r="AB356" s="10">
        <v>0.01</v>
      </c>
      <c r="AC356" s="10"/>
      <c r="AD356" s="2"/>
      <c r="AE356" s="1"/>
    </row>
    <row r="357" spans="1:31" hidden="1" x14ac:dyDescent="0.35">
      <c r="A357" s="15">
        <f t="shared" si="13"/>
        <v>1411</v>
      </c>
      <c r="B357" s="16">
        <v>14</v>
      </c>
      <c r="C357" s="13" t="s">
        <v>730</v>
      </c>
      <c r="D357" s="10">
        <v>7</v>
      </c>
      <c r="E357" s="10">
        <v>3</v>
      </c>
      <c r="F357" s="10">
        <v>274</v>
      </c>
      <c r="G357" s="10">
        <v>3</v>
      </c>
      <c r="H357" s="10">
        <v>1</v>
      </c>
      <c r="I357" s="10">
        <v>1</v>
      </c>
      <c r="J357" s="10">
        <v>2</v>
      </c>
      <c r="K357" s="10">
        <v>1</v>
      </c>
      <c r="L357" s="10">
        <v>0</v>
      </c>
      <c r="M357" s="10">
        <v>0</v>
      </c>
      <c r="N357" s="10">
        <v>0</v>
      </c>
      <c r="O357" s="10">
        <v>0</v>
      </c>
      <c r="P357" s="10">
        <v>0.3</v>
      </c>
      <c r="Q357" s="10">
        <v>0.3</v>
      </c>
      <c r="R357" s="10">
        <v>0.4</v>
      </c>
      <c r="S357" s="10">
        <v>1</v>
      </c>
      <c r="T357" s="10">
        <v>12</v>
      </c>
      <c r="U357" s="10">
        <v>2</v>
      </c>
      <c r="V357" s="10">
        <v>0.33</v>
      </c>
      <c r="W357" s="10">
        <v>0.33</v>
      </c>
      <c r="X357" s="10">
        <v>0.66</v>
      </c>
      <c r="Y357" s="10">
        <v>0.33</v>
      </c>
      <c r="Z357" s="10">
        <v>0.1</v>
      </c>
      <c r="AA357" s="10">
        <v>0.12</v>
      </c>
      <c r="AB357" s="10">
        <v>0.1</v>
      </c>
      <c r="AC357" s="10"/>
      <c r="AD357" s="2"/>
      <c r="AE357" s="1"/>
    </row>
    <row r="358" spans="1:31" hidden="1" x14ac:dyDescent="0.35">
      <c r="A358" s="15">
        <f t="shared" si="13"/>
        <v>1412</v>
      </c>
      <c r="B358" s="16">
        <v>14</v>
      </c>
      <c r="C358" s="13" t="s">
        <v>737</v>
      </c>
      <c r="D358" s="10">
        <v>3</v>
      </c>
      <c r="E358" s="10">
        <v>0</v>
      </c>
      <c r="F358" s="10">
        <v>77</v>
      </c>
      <c r="G358" s="10">
        <v>0.9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0.8</v>
      </c>
      <c r="Q358" s="10">
        <v>0.8</v>
      </c>
      <c r="R358" s="10">
        <v>0</v>
      </c>
      <c r="S358" s="10">
        <v>0</v>
      </c>
      <c r="T358" s="10">
        <v>3</v>
      </c>
      <c r="U358" s="10">
        <v>4</v>
      </c>
      <c r="V358" s="10">
        <v>0</v>
      </c>
      <c r="W358" s="10">
        <v>0</v>
      </c>
      <c r="X358" s="10">
        <v>0</v>
      </c>
      <c r="Y358" s="10">
        <v>0</v>
      </c>
      <c r="Z358" s="10">
        <v>0.9</v>
      </c>
      <c r="AA358" s="10">
        <v>0.05</v>
      </c>
      <c r="AB358" s="10">
        <v>0.9</v>
      </c>
      <c r="AC358" s="10"/>
      <c r="AD358" s="2"/>
      <c r="AE358" s="1"/>
    </row>
    <row r="359" spans="1:31" hidden="1" x14ac:dyDescent="0.35">
      <c r="A359" s="15">
        <f t="shared" si="13"/>
        <v>1413</v>
      </c>
      <c r="B359" s="16">
        <v>14</v>
      </c>
      <c r="C359" s="13" t="s">
        <v>735</v>
      </c>
      <c r="D359" s="10">
        <v>6</v>
      </c>
      <c r="E359" s="10">
        <v>0</v>
      </c>
      <c r="F359" s="10">
        <v>123</v>
      </c>
      <c r="G359" s="10">
        <v>1.4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0.1</v>
      </c>
      <c r="Q359" s="10">
        <v>0.1</v>
      </c>
      <c r="R359" s="10">
        <v>0.1</v>
      </c>
      <c r="S359" s="10">
        <v>5</v>
      </c>
      <c r="T359" s="10">
        <v>6</v>
      </c>
      <c r="U359" s="10">
        <v>4</v>
      </c>
      <c r="V359" s="10">
        <v>0</v>
      </c>
      <c r="W359" s="10">
        <v>0</v>
      </c>
      <c r="X359" s="10">
        <v>0</v>
      </c>
      <c r="Y359" s="10">
        <v>0</v>
      </c>
      <c r="Z359" s="10">
        <v>0.05</v>
      </c>
      <c r="AA359" s="10">
        <v>0.1</v>
      </c>
      <c r="AB359" s="10">
        <v>0.05</v>
      </c>
      <c r="AC359" s="10"/>
      <c r="AD359" s="2"/>
      <c r="AE359" s="1"/>
    </row>
    <row r="360" spans="1:31" hidden="1" x14ac:dyDescent="0.35">
      <c r="A360" s="15">
        <f t="shared" si="13"/>
        <v>1414</v>
      </c>
      <c r="B360" s="16">
        <v>14</v>
      </c>
      <c r="C360" s="13" t="s">
        <v>715</v>
      </c>
      <c r="D360" s="10">
        <v>8</v>
      </c>
      <c r="E360" s="10">
        <v>5</v>
      </c>
      <c r="F360" s="10">
        <v>457</v>
      </c>
      <c r="G360" s="10">
        <v>5.0999999999999996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0.3</v>
      </c>
      <c r="Q360" s="10">
        <v>0.3</v>
      </c>
      <c r="R360" s="10">
        <v>0</v>
      </c>
      <c r="S360" s="10">
        <v>5</v>
      </c>
      <c r="T360" s="10">
        <v>18</v>
      </c>
      <c r="U360" s="10">
        <v>3</v>
      </c>
      <c r="V360" s="10">
        <v>0</v>
      </c>
      <c r="W360" s="10">
        <v>0</v>
      </c>
      <c r="X360" s="10">
        <v>0</v>
      </c>
      <c r="Y360" s="10">
        <v>0</v>
      </c>
      <c r="Z360" s="10">
        <v>0.06</v>
      </c>
      <c r="AA360" s="10">
        <v>0</v>
      </c>
      <c r="AB360" s="10">
        <v>0.06</v>
      </c>
      <c r="AC360" s="10"/>
      <c r="AD360" s="2"/>
      <c r="AE360" s="1"/>
    </row>
    <row r="361" spans="1:31" hidden="1" x14ac:dyDescent="0.35">
      <c r="A361" s="15">
        <f t="shared" si="13"/>
        <v>1415</v>
      </c>
      <c r="B361" s="16">
        <v>14</v>
      </c>
      <c r="C361" s="13" t="s">
        <v>707</v>
      </c>
      <c r="D361" s="10">
        <v>8</v>
      </c>
      <c r="E361" s="10">
        <v>8</v>
      </c>
      <c r="F361" s="10">
        <v>689</v>
      </c>
      <c r="G361" s="10">
        <v>7.7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0.1</v>
      </c>
      <c r="Q361" s="10">
        <v>0.1</v>
      </c>
      <c r="R361" s="10">
        <v>0.1</v>
      </c>
      <c r="S361" s="10">
        <v>8</v>
      </c>
      <c r="T361" s="10">
        <v>31</v>
      </c>
      <c r="U361" s="10">
        <v>7</v>
      </c>
      <c r="V361" s="10">
        <v>0</v>
      </c>
      <c r="W361" s="10">
        <v>0</v>
      </c>
      <c r="X361" s="10">
        <v>0</v>
      </c>
      <c r="Y361" s="10">
        <v>0</v>
      </c>
      <c r="Z361" s="10">
        <v>0.01</v>
      </c>
      <c r="AA361" s="10">
        <v>0.01</v>
      </c>
      <c r="AB361" s="10">
        <v>0.01</v>
      </c>
      <c r="AC361" s="10"/>
      <c r="AD361" s="2"/>
      <c r="AE361" s="1"/>
    </row>
    <row r="362" spans="1:31" hidden="1" x14ac:dyDescent="0.35">
      <c r="A362" s="15">
        <f t="shared" si="13"/>
        <v>1416</v>
      </c>
      <c r="B362" s="16">
        <v>14</v>
      </c>
      <c r="C362" s="13" t="s">
        <v>728</v>
      </c>
      <c r="D362" s="10">
        <v>7</v>
      </c>
      <c r="E362" s="10">
        <v>2</v>
      </c>
      <c r="F362" s="10">
        <v>275</v>
      </c>
      <c r="G362" s="10">
        <v>3.1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4</v>
      </c>
      <c r="T362" s="10">
        <v>19</v>
      </c>
      <c r="U362" s="10">
        <v>3</v>
      </c>
      <c r="V362" s="10">
        <v>0</v>
      </c>
      <c r="W362" s="10">
        <v>0</v>
      </c>
      <c r="X362" s="10">
        <v>0</v>
      </c>
      <c r="Y362" s="10">
        <v>0</v>
      </c>
      <c r="Z362" s="10">
        <v>0.02</v>
      </c>
      <c r="AA362" s="10">
        <v>0.01</v>
      </c>
      <c r="AB362" s="10">
        <v>0.02</v>
      </c>
      <c r="AC362" s="10"/>
      <c r="AD362" s="2"/>
      <c r="AE362" s="1"/>
    </row>
    <row r="363" spans="1:31" hidden="1" x14ac:dyDescent="0.35">
      <c r="A363" s="15">
        <f t="shared" si="13"/>
        <v>1417</v>
      </c>
      <c r="B363" s="16">
        <v>14</v>
      </c>
      <c r="C363" s="13" t="s">
        <v>726</v>
      </c>
      <c r="D363" s="10">
        <v>7</v>
      </c>
      <c r="E363" s="10">
        <v>5</v>
      </c>
      <c r="F363" s="10">
        <v>332</v>
      </c>
      <c r="G363" s="10">
        <v>3.7</v>
      </c>
      <c r="H363" s="10">
        <v>1</v>
      </c>
      <c r="I363" s="10">
        <v>0</v>
      </c>
      <c r="J363" s="10">
        <v>1</v>
      </c>
      <c r="K363" s="10">
        <v>1</v>
      </c>
      <c r="L363" s="10">
        <v>0</v>
      </c>
      <c r="M363" s="10">
        <v>0</v>
      </c>
      <c r="N363" s="10">
        <v>0</v>
      </c>
      <c r="O363" s="10">
        <v>0</v>
      </c>
      <c r="P363" s="10">
        <v>0.5</v>
      </c>
      <c r="Q363" s="10">
        <v>0.5</v>
      </c>
      <c r="R363" s="10">
        <v>0.5</v>
      </c>
      <c r="S363" s="10">
        <v>5</v>
      </c>
      <c r="T363" s="10">
        <v>19</v>
      </c>
      <c r="U363" s="10">
        <v>15</v>
      </c>
      <c r="V363" s="10">
        <v>0.27</v>
      </c>
      <c r="W363" s="10">
        <v>0</v>
      </c>
      <c r="X363" s="10">
        <v>0.27</v>
      </c>
      <c r="Y363" s="10">
        <v>0.27</v>
      </c>
      <c r="Z363" s="10">
        <v>0.14000000000000001</v>
      </c>
      <c r="AA363" s="10">
        <v>0.13</v>
      </c>
      <c r="AB363" s="10">
        <v>0.14000000000000001</v>
      </c>
      <c r="AC363" s="10"/>
      <c r="AD363" s="2"/>
      <c r="AE363" s="1"/>
    </row>
    <row r="364" spans="1:31" hidden="1" x14ac:dyDescent="0.35">
      <c r="A364" s="15">
        <f t="shared" si="13"/>
        <v>1418</v>
      </c>
      <c r="B364" s="16">
        <v>14</v>
      </c>
      <c r="C364" s="13" t="s">
        <v>722</v>
      </c>
      <c r="D364" s="10">
        <v>7</v>
      </c>
      <c r="E364" s="10">
        <v>5</v>
      </c>
      <c r="F364" s="10">
        <v>442</v>
      </c>
      <c r="G364" s="10">
        <v>4.9000000000000004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1.4</v>
      </c>
      <c r="Q364" s="10">
        <v>1.4</v>
      </c>
      <c r="R364" s="10">
        <v>0.2</v>
      </c>
      <c r="S364" s="10">
        <v>15</v>
      </c>
      <c r="T364" s="10">
        <v>17</v>
      </c>
      <c r="U364" s="10">
        <v>20</v>
      </c>
      <c r="V364" s="10">
        <v>0</v>
      </c>
      <c r="W364" s="10">
        <v>0</v>
      </c>
      <c r="X364" s="10">
        <v>0</v>
      </c>
      <c r="Y364" s="10">
        <v>0</v>
      </c>
      <c r="Z364" s="10">
        <v>0.28000000000000003</v>
      </c>
      <c r="AA364" s="10">
        <v>0.05</v>
      </c>
      <c r="AB364" s="10">
        <v>0.28000000000000003</v>
      </c>
      <c r="AC364" s="10"/>
      <c r="AD364" s="2"/>
      <c r="AE364" s="1"/>
    </row>
    <row r="365" spans="1:31" hidden="1" x14ac:dyDescent="0.35">
      <c r="A365" s="15">
        <f t="shared" si="13"/>
        <v>1419</v>
      </c>
      <c r="B365" s="16">
        <v>14</v>
      </c>
      <c r="C365" s="13" t="s">
        <v>703</v>
      </c>
      <c r="D365" s="10">
        <v>8</v>
      </c>
      <c r="E365" s="10">
        <v>8</v>
      </c>
      <c r="F365" s="10">
        <v>720</v>
      </c>
      <c r="G365" s="10">
        <v>8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0.9</v>
      </c>
      <c r="Q365" s="10">
        <v>0.9</v>
      </c>
      <c r="R365" s="10">
        <v>0.5</v>
      </c>
      <c r="S365" s="10">
        <v>3</v>
      </c>
      <c r="T365" s="10">
        <v>15</v>
      </c>
      <c r="U365" s="10">
        <v>6</v>
      </c>
      <c r="V365" s="10">
        <v>0</v>
      </c>
      <c r="W365" s="10">
        <v>0</v>
      </c>
      <c r="X365" s="10">
        <v>0</v>
      </c>
      <c r="Y365" s="10">
        <v>0</v>
      </c>
      <c r="Z365" s="10">
        <v>0.11</v>
      </c>
      <c r="AA365" s="10">
        <v>7.0000000000000007E-2</v>
      </c>
      <c r="AB365" s="10">
        <v>0.11</v>
      </c>
      <c r="AC365" s="10"/>
      <c r="AD365" s="2"/>
      <c r="AE365" s="1"/>
    </row>
    <row r="366" spans="1:31" hidden="1" x14ac:dyDescent="0.35">
      <c r="A366" s="15">
        <f t="shared" si="13"/>
        <v>1420</v>
      </c>
      <c r="B366" s="16">
        <v>14</v>
      </c>
      <c r="C366" s="13" t="s">
        <v>732</v>
      </c>
      <c r="D366" s="10">
        <v>3</v>
      </c>
      <c r="E366" s="10">
        <v>2</v>
      </c>
      <c r="F366" s="10">
        <v>131</v>
      </c>
      <c r="G366" s="10">
        <v>1.5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6</v>
      </c>
      <c r="T366" s="10">
        <v>19</v>
      </c>
      <c r="U366" s="10">
        <v>13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/>
      <c r="AD366" s="2"/>
      <c r="AE366" s="1"/>
    </row>
    <row r="367" spans="1:31" hidden="1" x14ac:dyDescent="0.35">
      <c r="A367" s="15">
        <f t="shared" si="13"/>
        <v>1421</v>
      </c>
      <c r="B367" s="16">
        <v>14</v>
      </c>
      <c r="C367" s="13" t="s">
        <v>713</v>
      </c>
      <c r="D367" s="10">
        <v>7</v>
      </c>
      <c r="E367" s="10">
        <v>5</v>
      </c>
      <c r="F367" s="10">
        <v>503</v>
      </c>
      <c r="G367" s="10">
        <v>5.6</v>
      </c>
      <c r="H367" s="10">
        <v>0</v>
      </c>
      <c r="I367" s="10">
        <v>1</v>
      </c>
      <c r="J367" s="10">
        <v>1</v>
      </c>
      <c r="K367" s="10">
        <v>0</v>
      </c>
      <c r="L367" s="10">
        <v>0</v>
      </c>
      <c r="M367" s="10">
        <v>0</v>
      </c>
      <c r="N367" s="10">
        <v>2</v>
      </c>
      <c r="O367" s="10">
        <v>0</v>
      </c>
      <c r="P367" s="10">
        <v>0.2</v>
      </c>
      <c r="Q367" s="10">
        <v>0.2</v>
      </c>
      <c r="R367" s="10">
        <v>0.9</v>
      </c>
      <c r="S367" s="10">
        <v>17</v>
      </c>
      <c r="T367" s="10">
        <v>8</v>
      </c>
      <c r="U367" s="10">
        <v>43</v>
      </c>
      <c r="V367" s="10">
        <v>0</v>
      </c>
      <c r="W367" s="10">
        <v>0.18</v>
      </c>
      <c r="X367" s="10">
        <v>0.18</v>
      </c>
      <c r="Y367" s="10">
        <v>0</v>
      </c>
      <c r="Z367" s="10">
        <v>0.04</v>
      </c>
      <c r="AA367" s="10">
        <v>0.16</v>
      </c>
      <c r="AB367" s="10">
        <v>0.04</v>
      </c>
      <c r="AC367" s="10"/>
      <c r="AD367" s="5"/>
      <c r="AE367" s="1"/>
    </row>
    <row r="368" spans="1:31" hidden="1" x14ac:dyDescent="0.35">
      <c r="A368" s="15">
        <f t="shared" si="13"/>
        <v>1422</v>
      </c>
      <c r="B368" s="16">
        <v>14</v>
      </c>
      <c r="C368" s="13" t="s">
        <v>733</v>
      </c>
      <c r="D368" s="10">
        <v>2</v>
      </c>
      <c r="E368" s="10">
        <v>2</v>
      </c>
      <c r="F368" s="10">
        <v>180</v>
      </c>
      <c r="G368" s="10">
        <v>2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/>
      <c r="AD368" s="5"/>
      <c r="AE368" s="1"/>
    </row>
    <row r="369" spans="1:31" hidden="1" x14ac:dyDescent="0.35">
      <c r="A369" s="15">
        <f t="shared" si="13"/>
        <v>1423</v>
      </c>
      <c r="B369" s="16">
        <v>14</v>
      </c>
      <c r="C369" s="13" t="s">
        <v>743</v>
      </c>
      <c r="D369" s="10">
        <v>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/>
      <c r="AD369" s="5"/>
      <c r="AE369" s="1"/>
    </row>
    <row r="370" spans="1:31" hidden="1" x14ac:dyDescent="0.35">
      <c r="A370" s="15">
        <f t="shared" si="13"/>
        <v>1424</v>
      </c>
      <c r="B370" s="16">
        <v>14</v>
      </c>
      <c r="C370" s="13" t="s">
        <v>741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/>
      <c r="AD370" s="2"/>
      <c r="AE370" s="1"/>
    </row>
    <row r="371" spans="1:31" hidden="1" x14ac:dyDescent="0.35">
      <c r="A371" s="15">
        <v>1501</v>
      </c>
      <c r="B371" s="16">
        <v>15</v>
      </c>
      <c r="C371" s="13" t="s">
        <v>792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/>
      <c r="AD371" s="2"/>
      <c r="AE371" s="1"/>
    </row>
    <row r="372" spans="1:31" hidden="1" x14ac:dyDescent="0.35">
      <c r="A372" s="15">
        <f>A371+1</f>
        <v>1502</v>
      </c>
      <c r="B372" s="16">
        <v>15</v>
      </c>
      <c r="C372" s="13" t="s">
        <v>772</v>
      </c>
      <c r="D372" s="10">
        <v>8</v>
      </c>
      <c r="E372" s="10">
        <v>4</v>
      </c>
      <c r="F372" s="10">
        <v>374</v>
      </c>
      <c r="G372" s="10">
        <v>4.2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0.6</v>
      </c>
      <c r="Q372" s="10">
        <v>0.6</v>
      </c>
      <c r="R372" s="10">
        <v>0.5</v>
      </c>
      <c r="S372" s="10">
        <v>16</v>
      </c>
      <c r="T372" s="10">
        <v>6</v>
      </c>
      <c r="U372" s="10">
        <v>48</v>
      </c>
      <c r="V372" s="10">
        <v>0</v>
      </c>
      <c r="W372" s="10">
        <v>0</v>
      </c>
      <c r="X372" s="10">
        <v>0</v>
      </c>
      <c r="Y372" s="10">
        <v>0</v>
      </c>
      <c r="Z372" s="10">
        <v>0.15</v>
      </c>
      <c r="AA372" s="10">
        <v>0.11</v>
      </c>
      <c r="AB372" s="10">
        <v>0.15</v>
      </c>
      <c r="AC372" s="10"/>
      <c r="AD372" s="2"/>
      <c r="AE372" s="1"/>
    </row>
    <row r="373" spans="1:31" hidden="1" x14ac:dyDescent="0.35">
      <c r="A373" s="15">
        <f t="shared" ref="A373:A394" si="14">A372+1</f>
        <v>1503</v>
      </c>
      <c r="B373" s="16">
        <v>15</v>
      </c>
      <c r="C373" s="13" t="s">
        <v>771</v>
      </c>
      <c r="D373" s="10">
        <v>5</v>
      </c>
      <c r="E373" s="10">
        <v>5</v>
      </c>
      <c r="F373" s="10">
        <v>338</v>
      </c>
      <c r="G373" s="10">
        <v>3.8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1</v>
      </c>
      <c r="P373" s="10">
        <v>1.3</v>
      </c>
      <c r="Q373" s="10">
        <v>1.3</v>
      </c>
      <c r="R373" s="10">
        <v>0.2</v>
      </c>
      <c r="S373" s="10">
        <v>10</v>
      </c>
      <c r="T373" s="10">
        <v>8</v>
      </c>
      <c r="U373" s="10">
        <v>26</v>
      </c>
      <c r="V373" s="10">
        <v>0</v>
      </c>
      <c r="W373" s="10">
        <v>0</v>
      </c>
      <c r="X373" s="10">
        <v>0</v>
      </c>
      <c r="Y373" s="10">
        <v>0</v>
      </c>
      <c r="Z373" s="10">
        <v>0.35</v>
      </c>
      <c r="AA373" s="10">
        <v>0.06</v>
      </c>
      <c r="AB373" s="10">
        <v>0.35</v>
      </c>
      <c r="AC373" s="10"/>
      <c r="AD373" s="2"/>
      <c r="AE373" s="1"/>
    </row>
    <row r="374" spans="1:31" hidden="1" x14ac:dyDescent="0.35">
      <c r="A374" s="15">
        <f t="shared" si="14"/>
        <v>1504</v>
      </c>
      <c r="B374" s="16">
        <v>15</v>
      </c>
      <c r="C374" s="13" t="s">
        <v>756</v>
      </c>
      <c r="D374" s="10">
        <v>7</v>
      </c>
      <c r="E374" s="10">
        <v>7</v>
      </c>
      <c r="F374" s="10">
        <v>625</v>
      </c>
      <c r="G374" s="10">
        <v>6.9</v>
      </c>
      <c r="H374" s="10">
        <v>2</v>
      </c>
      <c r="I374" s="10">
        <v>0</v>
      </c>
      <c r="J374" s="10">
        <v>2</v>
      </c>
      <c r="K374" s="10">
        <v>2</v>
      </c>
      <c r="L374" s="10">
        <v>0</v>
      </c>
      <c r="M374" s="10">
        <v>0</v>
      </c>
      <c r="N374" s="10">
        <v>2</v>
      </c>
      <c r="O374" s="10">
        <v>0</v>
      </c>
      <c r="P374" s="10">
        <v>0.7</v>
      </c>
      <c r="Q374" s="10">
        <v>0.7</v>
      </c>
      <c r="R374" s="10">
        <v>0.3</v>
      </c>
      <c r="S374" s="10">
        <v>7</v>
      </c>
      <c r="T374" s="10">
        <v>47</v>
      </c>
      <c r="U374" s="10">
        <v>17</v>
      </c>
      <c r="V374" s="10">
        <v>0.28999999999999998</v>
      </c>
      <c r="W374" s="10">
        <v>0</v>
      </c>
      <c r="X374" s="10">
        <v>0.28999999999999998</v>
      </c>
      <c r="Y374" s="10">
        <v>0.28999999999999998</v>
      </c>
      <c r="Z374" s="10">
        <v>0.1</v>
      </c>
      <c r="AA374" s="10">
        <v>0.05</v>
      </c>
      <c r="AB374" s="10">
        <v>0.1</v>
      </c>
      <c r="AC374" s="10"/>
      <c r="AD374" s="2"/>
      <c r="AE374" s="1"/>
    </row>
    <row r="375" spans="1:31" hidden="1" x14ac:dyDescent="0.35">
      <c r="A375" s="15">
        <f t="shared" si="14"/>
        <v>1505</v>
      </c>
      <c r="B375" s="16">
        <v>15</v>
      </c>
      <c r="C375" s="13" t="s">
        <v>750</v>
      </c>
      <c r="D375" s="10">
        <v>8</v>
      </c>
      <c r="E375" s="10">
        <v>8</v>
      </c>
      <c r="F375" s="10">
        <v>720</v>
      </c>
      <c r="G375" s="10">
        <v>8</v>
      </c>
      <c r="H375" s="10">
        <v>0</v>
      </c>
      <c r="I375" s="10">
        <v>1</v>
      </c>
      <c r="J375" s="10">
        <v>1</v>
      </c>
      <c r="K375" s="10">
        <v>0</v>
      </c>
      <c r="L375" s="10">
        <v>0</v>
      </c>
      <c r="M375" s="10">
        <v>0</v>
      </c>
      <c r="N375" s="10">
        <v>3</v>
      </c>
      <c r="O375" s="10">
        <v>0</v>
      </c>
      <c r="P375" s="10">
        <v>0.1</v>
      </c>
      <c r="Q375" s="10">
        <v>0.1</v>
      </c>
      <c r="R375" s="10">
        <v>0.1</v>
      </c>
      <c r="S375" s="10">
        <v>3</v>
      </c>
      <c r="T375" s="10">
        <v>26</v>
      </c>
      <c r="U375" s="10">
        <v>11</v>
      </c>
      <c r="V375" s="10">
        <v>0</v>
      </c>
      <c r="W375" s="10">
        <v>0.12</v>
      </c>
      <c r="X375" s="10">
        <v>0.12</v>
      </c>
      <c r="Y375" s="10">
        <v>0</v>
      </c>
      <c r="Z375" s="10">
        <v>0.01</v>
      </c>
      <c r="AA375" s="10">
        <v>0.01</v>
      </c>
      <c r="AB375" s="10">
        <v>0.01</v>
      </c>
      <c r="AC375" s="10"/>
      <c r="AD375" s="2"/>
      <c r="AE375" s="1"/>
    </row>
    <row r="376" spans="1:31" hidden="1" x14ac:dyDescent="0.35">
      <c r="A376" s="15">
        <f t="shared" si="14"/>
        <v>1506</v>
      </c>
      <c r="B376" s="16">
        <v>15</v>
      </c>
      <c r="C376" s="13" t="s">
        <v>790</v>
      </c>
      <c r="D376" s="10">
        <v>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/>
      <c r="AD376" s="2"/>
      <c r="AE376" s="1"/>
    </row>
    <row r="377" spans="1:31" hidden="1" x14ac:dyDescent="0.35">
      <c r="A377" s="15">
        <f t="shared" si="14"/>
        <v>1507</v>
      </c>
      <c r="B377" s="16">
        <v>15</v>
      </c>
      <c r="C377" s="13" t="s">
        <v>764</v>
      </c>
      <c r="D377" s="10">
        <v>4</v>
      </c>
      <c r="E377" s="10">
        <v>4</v>
      </c>
      <c r="F377" s="10">
        <v>350</v>
      </c>
      <c r="G377" s="10">
        <v>3.9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0.1</v>
      </c>
      <c r="Q377" s="10">
        <v>0.1</v>
      </c>
      <c r="R377" s="10">
        <v>0.1</v>
      </c>
      <c r="S377" s="10">
        <v>3</v>
      </c>
      <c r="T377" s="10">
        <v>13</v>
      </c>
      <c r="U377" s="10">
        <v>1</v>
      </c>
      <c r="V377" s="10">
        <v>0</v>
      </c>
      <c r="W377" s="10">
        <v>0</v>
      </c>
      <c r="X377" s="10">
        <v>0</v>
      </c>
      <c r="Y377" s="10">
        <v>0</v>
      </c>
      <c r="Z377" s="10">
        <v>0.02</v>
      </c>
      <c r="AA377" s="10">
        <v>0.03</v>
      </c>
      <c r="AB377" s="10">
        <v>0.02</v>
      </c>
      <c r="AC377" s="10"/>
      <c r="AD377" s="2"/>
      <c r="AE377" s="1"/>
    </row>
    <row r="378" spans="1:31" hidden="1" x14ac:dyDescent="0.35">
      <c r="A378" s="15">
        <f t="shared" si="14"/>
        <v>1508</v>
      </c>
      <c r="B378" s="16">
        <v>15</v>
      </c>
      <c r="C378" s="13" t="s">
        <v>774</v>
      </c>
      <c r="D378" s="10">
        <v>8</v>
      </c>
      <c r="E378" s="10">
        <v>3</v>
      </c>
      <c r="F378" s="10">
        <v>338</v>
      </c>
      <c r="G378" s="10">
        <v>3.8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0.9</v>
      </c>
      <c r="Q378" s="10">
        <v>0.9</v>
      </c>
      <c r="R378" s="10">
        <v>0.7</v>
      </c>
      <c r="S378" s="10">
        <v>15</v>
      </c>
      <c r="T378" s="10">
        <v>16</v>
      </c>
      <c r="U378" s="10">
        <v>34</v>
      </c>
      <c r="V378" s="10">
        <v>0</v>
      </c>
      <c r="W378" s="10">
        <v>0</v>
      </c>
      <c r="X378" s="10">
        <v>0</v>
      </c>
      <c r="Y378" s="10">
        <v>0</v>
      </c>
      <c r="Z378" s="10">
        <v>0.25</v>
      </c>
      <c r="AA378" s="10">
        <v>0.18</v>
      </c>
      <c r="AB378" s="10">
        <v>0.25</v>
      </c>
      <c r="AC378" s="10"/>
      <c r="AD378" s="2"/>
      <c r="AE378" s="1"/>
    </row>
    <row r="379" spans="1:31" hidden="1" x14ac:dyDescent="0.35">
      <c r="A379" s="15">
        <f t="shared" si="14"/>
        <v>1509</v>
      </c>
      <c r="B379" s="16">
        <v>15</v>
      </c>
      <c r="C379" s="13" t="s">
        <v>768</v>
      </c>
      <c r="D379" s="10">
        <v>7</v>
      </c>
      <c r="E379" s="10">
        <v>4</v>
      </c>
      <c r="F379" s="10">
        <v>356</v>
      </c>
      <c r="G379" s="10">
        <v>4</v>
      </c>
      <c r="H379" s="10">
        <v>0</v>
      </c>
      <c r="I379" s="10">
        <v>1</v>
      </c>
      <c r="J379" s="10">
        <v>1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1.6</v>
      </c>
      <c r="Q379" s="10">
        <v>1.6</v>
      </c>
      <c r="R379" s="10">
        <v>1.1000000000000001</v>
      </c>
      <c r="S379" s="10">
        <v>9</v>
      </c>
      <c r="T379" s="10">
        <v>10</v>
      </c>
      <c r="U379" s="10">
        <v>54</v>
      </c>
      <c r="V379" s="10">
        <v>0</v>
      </c>
      <c r="W379" s="10">
        <v>0.25</v>
      </c>
      <c r="X379" s="10">
        <v>0.25</v>
      </c>
      <c r="Y379" s="10">
        <v>0</v>
      </c>
      <c r="Z379" s="10">
        <v>0.39</v>
      </c>
      <c r="AA379" s="10">
        <v>0.28000000000000003</v>
      </c>
      <c r="AB379" s="10">
        <v>0.39</v>
      </c>
      <c r="AC379" s="10"/>
      <c r="AD379" s="2"/>
      <c r="AE379" s="1"/>
    </row>
    <row r="380" spans="1:31" hidden="1" x14ac:dyDescent="0.35">
      <c r="A380" s="15">
        <f t="shared" si="14"/>
        <v>1510</v>
      </c>
      <c r="B380" s="16">
        <v>15</v>
      </c>
      <c r="C380" s="13" t="s">
        <v>786</v>
      </c>
      <c r="D380" s="10">
        <v>3</v>
      </c>
      <c r="E380" s="10">
        <v>1</v>
      </c>
      <c r="F380" s="10">
        <v>81</v>
      </c>
      <c r="G380" s="10">
        <v>0.9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0.3</v>
      </c>
      <c r="S380" s="10">
        <v>5</v>
      </c>
      <c r="T380" s="10">
        <v>5</v>
      </c>
      <c r="U380" s="10">
        <v>5</v>
      </c>
      <c r="V380" s="10">
        <v>0</v>
      </c>
      <c r="W380" s="10">
        <v>0</v>
      </c>
      <c r="X380" s="10">
        <v>0</v>
      </c>
      <c r="Y380" s="10">
        <v>0</v>
      </c>
      <c r="Z380" s="10">
        <v>0.03</v>
      </c>
      <c r="AA380" s="10">
        <v>0.35</v>
      </c>
      <c r="AB380" s="10">
        <v>0.03</v>
      </c>
      <c r="AC380" s="10"/>
      <c r="AD380" s="2"/>
      <c r="AE380" s="1"/>
    </row>
    <row r="381" spans="1:31" hidden="1" x14ac:dyDescent="0.35">
      <c r="A381" s="15">
        <f t="shared" si="14"/>
        <v>1511</v>
      </c>
      <c r="B381" s="16">
        <v>15</v>
      </c>
      <c r="C381" s="13" t="s">
        <v>788</v>
      </c>
      <c r="D381" s="10">
        <v>2</v>
      </c>
      <c r="E381" s="10">
        <v>0</v>
      </c>
      <c r="F381" s="10">
        <v>21</v>
      </c>
      <c r="G381" s="10">
        <v>0.2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1</v>
      </c>
      <c r="V381" s="10">
        <v>0</v>
      </c>
      <c r="W381" s="10">
        <v>0</v>
      </c>
      <c r="X381" s="10">
        <v>0</v>
      </c>
      <c r="Y381" s="10">
        <v>0</v>
      </c>
      <c r="Z381" s="10">
        <v>0.16</v>
      </c>
      <c r="AA381" s="10">
        <v>0</v>
      </c>
      <c r="AB381" s="10">
        <v>0.16</v>
      </c>
      <c r="AC381" s="10"/>
      <c r="AD381" s="2"/>
      <c r="AE381" s="1"/>
    </row>
    <row r="382" spans="1:31" hidden="1" x14ac:dyDescent="0.35">
      <c r="A382" s="15">
        <f t="shared" si="14"/>
        <v>1512</v>
      </c>
      <c r="B382" s="16">
        <v>15</v>
      </c>
      <c r="C382" s="13" t="s">
        <v>784</v>
      </c>
      <c r="D382" s="10">
        <v>2</v>
      </c>
      <c r="E382" s="10">
        <v>1</v>
      </c>
      <c r="F382" s="10">
        <v>87</v>
      </c>
      <c r="G382" s="10">
        <v>1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0.1</v>
      </c>
      <c r="Q382" s="10">
        <v>0.1</v>
      </c>
      <c r="R382" s="10">
        <v>0</v>
      </c>
      <c r="S382" s="10">
        <v>3</v>
      </c>
      <c r="T382" s="10">
        <v>1</v>
      </c>
      <c r="U382" s="10">
        <v>4</v>
      </c>
      <c r="V382" s="10">
        <v>0</v>
      </c>
      <c r="W382" s="10">
        <v>0</v>
      </c>
      <c r="X382" s="10">
        <v>0</v>
      </c>
      <c r="Y382" s="10">
        <v>0</v>
      </c>
      <c r="Z382" s="10">
        <v>0.09</v>
      </c>
      <c r="AA382" s="10">
        <v>0</v>
      </c>
      <c r="AB382" s="10">
        <v>0.09</v>
      </c>
      <c r="AC382" s="10"/>
      <c r="AD382" s="2"/>
      <c r="AE382" s="1"/>
    </row>
    <row r="383" spans="1:31" hidden="1" x14ac:dyDescent="0.35">
      <c r="A383" s="15">
        <f t="shared" si="14"/>
        <v>1513</v>
      </c>
      <c r="B383" s="16">
        <v>15</v>
      </c>
      <c r="C383" s="13" t="s">
        <v>762</v>
      </c>
      <c r="D383" s="10">
        <v>6</v>
      </c>
      <c r="E383" s="10">
        <v>6</v>
      </c>
      <c r="F383" s="10">
        <v>444</v>
      </c>
      <c r="G383" s="10">
        <v>4.9000000000000004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2</v>
      </c>
      <c r="O383" s="10">
        <v>0</v>
      </c>
      <c r="P383" s="10">
        <v>0.6</v>
      </c>
      <c r="Q383" s="10">
        <v>0.6</v>
      </c>
      <c r="R383" s="10">
        <v>0.8</v>
      </c>
      <c r="S383" s="10">
        <v>8</v>
      </c>
      <c r="T383" s="10">
        <v>25</v>
      </c>
      <c r="U383" s="10">
        <v>18</v>
      </c>
      <c r="V383" s="10">
        <v>0</v>
      </c>
      <c r="W383" s="10">
        <v>0</v>
      </c>
      <c r="X383" s="10">
        <v>0</v>
      </c>
      <c r="Y383" s="10">
        <v>0</v>
      </c>
      <c r="Z383" s="10">
        <v>0.12</v>
      </c>
      <c r="AA383" s="10">
        <v>0.17</v>
      </c>
      <c r="AB383" s="10">
        <v>0.12</v>
      </c>
      <c r="AC383" s="10"/>
      <c r="AD383" s="2"/>
      <c r="AE383" s="1"/>
    </row>
    <row r="384" spans="1:31" hidden="1" x14ac:dyDescent="0.35">
      <c r="A384" s="15">
        <f t="shared" si="14"/>
        <v>1514</v>
      </c>
      <c r="B384" s="16">
        <v>15</v>
      </c>
      <c r="C384" s="13" t="s">
        <v>760</v>
      </c>
      <c r="D384" s="10">
        <v>7</v>
      </c>
      <c r="E384" s="10">
        <v>6</v>
      </c>
      <c r="F384" s="10">
        <v>519</v>
      </c>
      <c r="G384" s="10">
        <v>5.8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0.7</v>
      </c>
      <c r="S384" s="10">
        <v>8</v>
      </c>
      <c r="T384" s="10">
        <v>57</v>
      </c>
      <c r="U384" s="10">
        <v>29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0.12</v>
      </c>
      <c r="AB384" s="10">
        <v>0</v>
      </c>
      <c r="AC384" s="10"/>
      <c r="AD384" s="2"/>
      <c r="AE384" s="1"/>
    </row>
    <row r="385" spans="1:31" hidden="1" x14ac:dyDescent="0.35">
      <c r="A385" s="15">
        <f t="shared" si="14"/>
        <v>1515</v>
      </c>
      <c r="B385" s="16">
        <v>15</v>
      </c>
      <c r="C385" s="13" t="s">
        <v>782</v>
      </c>
      <c r="D385" s="10">
        <v>3</v>
      </c>
      <c r="E385" s="10">
        <v>1</v>
      </c>
      <c r="F385" s="10">
        <v>135</v>
      </c>
      <c r="G385" s="10">
        <v>1.5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9</v>
      </c>
      <c r="U385" s="10">
        <v>7</v>
      </c>
      <c r="V385" s="10">
        <v>0</v>
      </c>
      <c r="W385" s="10">
        <v>0</v>
      </c>
      <c r="X385" s="10">
        <v>0</v>
      </c>
      <c r="Y385" s="10">
        <v>0</v>
      </c>
      <c r="Z385" s="10">
        <v>0.02</v>
      </c>
      <c r="AA385" s="10">
        <v>0</v>
      </c>
      <c r="AB385" s="10">
        <v>0.02</v>
      </c>
      <c r="AC385" s="10"/>
      <c r="AD385" s="2"/>
      <c r="AE385" s="1"/>
    </row>
    <row r="386" spans="1:31" hidden="1" x14ac:dyDescent="0.35">
      <c r="A386" s="15">
        <f t="shared" si="14"/>
        <v>1516</v>
      </c>
      <c r="B386" s="16">
        <v>15</v>
      </c>
      <c r="C386" s="13" t="s">
        <v>778</v>
      </c>
      <c r="D386" s="10">
        <v>6</v>
      </c>
      <c r="E386" s="10">
        <v>1</v>
      </c>
      <c r="F386" s="10">
        <v>214</v>
      </c>
      <c r="G386" s="10">
        <v>2.4</v>
      </c>
      <c r="H386" s="10">
        <v>0</v>
      </c>
      <c r="I386" s="10">
        <v>1</v>
      </c>
      <c r="J386" s="10">
        <v>1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0.3</v>
      </c>
      <c r="S386" s="10">
        <v>2</v>
      </c>
      <c r="T386" s="10">
        <v>8</v>
      </c>
      <c r="U386" s="10">
        <v>8</v>
      </c>
      <c r="V386" s="10">
        <v>0</v>
      </c>
      <c r="W386" s="10">
        <v>0.42</v>
      </c>
      <c r="X386" s="10">
        <v>0.42</v>
      </c>
      <c r="Y386" s="10">
        <v>0</v>
      </c>
      <c r="Z386" s="10">
        <v>0.01</v>
      </c>
      <c r="AA386" s="10">
        <v>0.12</v>
      </c>
      <c r="AB386" s="10">
        <v>0.01</v>
      </c>
      <c r="AC386" s="10"/>
      <c r="AD386" s="2"/>
      <c r="AE386" s="1"/>
    </row>
    <row r="387" spans="1:31" hidden="1" x14ac:dyDescent="0.35">
      <c r="A387" s="15">
        <f t="shared" si="14"/>
        <v>1517</v>
      </c>
      <c r="B387" s="16">
        <v>15</v>
      </c>
      <c r="C387" s="13" t="s">
        <v>776</v>
      </c>
      <c r="D387" s="10">
        <v>5</v>
      </c>
      <c r="E387" s="10">
        <v>4</v>
      </c>
      <c r="F387" s="10">
        <v>363</v>
      </c>
      <c r="G387" s="10">
        <v>4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1</v>
      </c>
      <c r="O387" s="10">
        <v>0</v>
      </c>
      <c r="P387" s="10">
        <v>0.6</v>
      </c>
      <c r="Q387" s="10">
        <v>0.6</v>
      </c>
      <c r="R387" s="10">
        <v>0.3</v>
      </c>
      <c r="S387" s="10">
        <v>4</v>
      </c>
      <c r="T387" s="10">
        <v>18</v>
      </c>
      <c r="U387" s="10">
        <v>2</v>
      </c>
      <c r="V387" s="10">
        <v>0</v>
      </c>
      <c r="W387" s="10">
        <v>0</v>
      </c>
      <c r="X387" s="10">
        <v>0</v>
      </c>
      <c r="Y387" s="10">
        <v>0</v>
      </c>
      <c r="Z387" s="10">
        <v>0.15</v>
      </c>
      <c r="AA387" s="10">
        <v>7.0000000000000007E-2</v>
      </c>
      <c r="AB387" s="10">
        <v>0.15</v>
      </c>
      <c r="AC387" s="10"/>
      <c r="AD387" s="2"/>
      <c r="AE387" s="1"/>
    </row>
    <row r="388" spans="1:31" hidden="1" x14ac:dyDescent="0.35">
      <c r="A388" s="15">
        <f t="shared" si="14"/>
        <v>1518</v>
      </c>
      <c r="B388" s="16">
        <v>15</v>
      </c>
      <c r="C388" s="13" t="s">
        <v>752</v>
      </c>
      <c r="D388" s="10">
        <v>8</v>
      </c>
      <c r="E388" s="10">
        <v>8</v>
      </c>
      <c r="F388" s="10">
        <v>720</v>
      </c>
      <c r="G388" s="10">
        <v>8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1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/>
      <c r="AD388" s="2"/>
      <c r="AE388" s="1"/>
    </row>
    <row r="389" spans="1:31" hidden="1" x14ac:dyDescent="0.35">
      <c r="A389" s="15">
        <f t="shared" si="14"/>
        <v>1519</v>
      </c>
      <c r="B389" s="16">
        <v>15</v>
      </c>
      <c r="C389" s="13" t="s">
        <v>769</v>
      </c>
      <c r="D389" s="10">
        <v>5</v>
      </c>
      <c r="E389" s="10">
        <v>5</v>
      </c>
      <c r="F389" s="10">
        <v>392</v>
      </c>
      <c r="G389" s="10">
        <v>4.4000000000000004</v>
      </c>
      <c r="H389" s="10">
        <v>4</v>
      </c>
      <c r="I389" s="10">
        <v>0</v>
      </c>
      <c r="J389" s="10">
        <v>4</v>
      </c>
      <c r="K389" s="10">
        <v>3</v>
      </c>
      <c r="L389" s="10">
        <v>1</v>
      </c>
      <c r="M389" s="10">
        <v>1</v>
      </c>
      <c r="N389" s="10">
        <v>0</v>
      </c>
      <c r="O389" s="10">
        <v>0</v>
      </c>
      <c r="P389" s="10">
        <v>2.6</v>
      </c>
      <c r="Q389" s="10">
        <v>1.8</v>
      </c>
      <c r="R389" s="10">
        <v>0.2</v>
      </c>
      <c r="S389" s="10">
        <v>3</v>
      </c>
      <c r="T389" s="10">
        <v>8</v>
      </c>
      <c r="U389" s="10">
        <v>17</v>
      </c>
      <c r="V389" s="10">
        <v>0.92</v>
      </c>
      <c r="W389" s="10">
        <v>0</v>
      </c>
      <c r="X389" s="10">
        <v>0.92</v>
      </c>
      <c r="Y389" s="10">
        <v>0.69</v>
      </c>
      <c r="Z389" s="10">
        <v>0.6</v>
      </c>
      <c r="AA389" s="10">
        <v>0.04</v>
      </c>
      <c r="AB389" s="10">
        <v>0.42</v>
      </c>
      <c r="AC389" s="10"/>
      <c r="AD389" s="2"/>
      <c r="AE389" s="1"/>
    </row>
    <row r="390" spans="1:31" hidden="1" x14ac:dyDescent="0.35">
      <c r="A390" s="15">
        <f t="shared" si="14"/>
        <v>1520</v>
      </c>
      <c r="B390" s="16">
        <v>15</v>
      </c>
      <c r="C390" s="13" t="s">
        <v>794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/>
      <c r="AD390" s="2"/>
      <c r="AE390" s="1"/>
    </row>
    <row r="391" spans="1:31" hidden="1" x14ac:dyDescent="0.35">
      <c r="A391" s="15">
        <f t="shared" si="14"/>
        <v>1521</v>
      </c>
      <c r="B391" s="16">
        <v>15</v>
      </c>
      <c r="C391" s="13" t="s">
        <v>754</v>
      </c>
      <c r="D391" s="10">
        <v>8</v>
      </c>
      <c r="E391" s="10">
        <v>8</v>
      </c>
      <c r="F391" s="10">
        <v>674</v>
      </c>
      <c r="G391" s="10">
        <v>7.5</v>
      </c>
      <c r="H391" s="10">
        <v>0</v>
      </c>
      <c r="I391" s="10">
        <v>1</v>
      </c>
      <c r="J391" s="10">
        <v>1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0.4</v>
      </c>
      <c r="Q391" s="10">
        <v>0.4</v>
      </c>
      <c r="R391" s="10">
        <v>1.6</v>
      </c>
      <c r="S391" s="10">
        <v>16</v>
      </c>
      <c r="T391" s="10">
        <v>55</v>
      </c>
      <c r="U391" s="10">
        <v>15</v>
      </c>
      <c r="V391" s="10">
        <v>0</v>
      </c>
      <c r="W391" s="10">
        <v>0.13</v>
      </c>
      <c r="X391" s="10">
        <v>0.13</v>
      </c>
      <c r="Y391" s="10">
        <v>0</v>
      </c>
      <c r="Z391" s="10">
        <v>0.05</v>
      </c>
      <c r="AA391" s="10">
        <v>0.22</v>
      </c>
      <c r="AB391" s="10">
        <v>0.05</v>
      </c>
      <c r="AC391" s="10"/>
      <c r="AD391" s="2"/>
      <c r="AE391" s="1"/>
    </row>
    <row r="392" spans="1:31" hidden="1" x14ac:dyDescent="0.35">
      <c r="A392" s="15">
        <f t="shared" si="14"/>
        <v>1522</v>
      </c>
      <c r="B392" s="16">
        <v>15</v>
      </c>
      <c r="C392" s="13" t="s">
        <v>766</v>
      </c>
      <c r="D392" s="10">
        <v>6</v>
      </c>
      <c r="E392" s="10">
        <v>5</v>
      </c>
      <c r="F392" s="10">
        <v>428</v>
      </c>
      <c r="G392" s="10">
        <v>4.8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0.1</v>
      </c>
      <c r="Q392" s="10">
        <v>0.1</v>
      </c>
      <c r="R392" s="10">
        <v>0.2</v>
      </c>
      <c r="S392" s="10">
        <v>0</v>
      </c>
      <c r="T392" s="10">
        <v>12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0.03</v>
      </c>
      <c r="AA392" s="10">
        <v>0.04</v>
      </c>
      <c r="AB392" s="10">
        <v>0.03</v>
      </c>
      <c r="AC392" s="10"/>
      <c r="AD392" s="5"/>
      <c r="AE392" s="1"/>
    </row>
    <row r="393" spans="1:31" hidden="1" x14ac:dyDescent="0.35">
      <c r="A393" s="15">
        <f t="shared" si="14"/>
        <v>1523</v>
      </c>
      <c r="B393" s="16">
        <v>15</v>
      </c>
      <c r="C393" s="13" t="s">
        <v>758</v>
      </c>
      <c r="D393" s="10">
        <v>6</v>
      </c>
      <c r="E393" s="10">
        <v>6</v>
      </c>
      <c r="F393" s="10">
        <v>526</v>
      </c>
      <c r="G393" s="10">
        <v>5.8</v>
      </c>
      <c r="H393" s="10">
        <v>0</v>
      </c>
      <c r="I393" s="10">
        <v>1</v>
      </c>
      <c r="J393" s="10">
        <v>1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0.2</v>
      </c>
      <c r="S393" s="10">
        <v>14</v>
      </c>
      <c r="T393" s="10">
        <v>24</v>
      </c>
      <c r="U393" s="10">
        <v>38</v>
      </c>
      <c r="V393" s="10">
        <v>0</v>
      </c>
      <c r="W393" s="10">
        <v>0.17</v>
      </c>
      <c r="X393" s="10">
        <v>0.17</v>
      </c>
      <c r="Y393" s="10">
        <v>0</v>
      </c>
      <c r="Z393" s="10">
        <v>0</v>
      </c>
      <c r="AA393" s="10">
        <v>0.03</v>
      </c>
      <c r="AB393" s="10">
        <v>0</v>
      </c>
      <c r="AC393" s="10"/>
      <c r="AD393" s="5"/>
      <c r="AE393" s="1"/>
    </row>
    <row r="394" spans="1:31" hidden="1" x14ac:dyDescent="0.35">
      <c r="A394" s="15">
        <f t="shared" si="14"/>
        <v>1524</v>
      </c>
      <c r="B394" s="16">
        <v>15</v>
      </c>
      <c r="C394" s="13" t="s">
        <v>780</v>
      </c>
      <c r="D394" s="10">
        <v>8</v>
      </c>
      <c r="E394" s="10">
        <v>1</v>
      </c>
      <c r="F394" s="10">
        <v>169</v>
      </c>
      <c r="G394" s="10">
        <v>1.9</v>
      </c>
      <c r="H394" s="10">
        <v>1</v>
      </c>
      <c r="I394" s="10">
        <v>0</v>
      </c>
      <c r="J394" s="10">
        <v>1</v>
      </c>
      <c r="K394" s="10">
        <v>1</v>
      </c>
      <c r="L394" s="10">
        <v>0</v>
      </c>
      <c r="M394" s="10">
        <v>0</v>
      </c>
      <c r="N394" s="10">
        <v>0</v>
      </c>
      <c r="O394" s="10">
        <v>0</v>
      </c>
      <c r="P394" s="10">
        <v>0.4</v>
      </c>
      <c r="Q394" s="10">
        <v>0.4</v>
      </c>
      <c r="R394" s="10">
        <v>0.1</v>
      </c>
      <c r="S394" s="10">
        <v>1</v>
      </c>
      <c r="T394" s="10">
        <v>2</v>
      </c>
      <c r="U394" s="10">
        <v>10</v>
      </c>
      <c r="V394" s="10">
        <v>0.53</v>
      </c>
      <c r="W394" s="10">
        <v>0</v>
      </c>
      <c r="X394" s="10">
        <v>0.53</v>
      </c>
      <c r="Y394" s="10">
        <v>0.53</v>
      </c>
      <c r="Z394" s="10">
        <v>0.21</v>
      </c>
      <c r="AA394" s="10">
        <v>0.04</v>
      </c>
      <c r="AB394" s="10">
        <v>0.21</v>
      </c>
      <c r="AC394" s="10"/>
      <c r="AD394" s="2"/>
      <c r="AE394" s="1"/>
    </row>
    <row r="395" spans="1:31" hidden="1" x14ac:dyDescent="0.35">
      <c r="A395" s="15">
        <v>1601</v>
      </c>
      <c r="B395" s="16">
        <v>16</v>
      </c>
      <c r="C395" s="13" t="s">
        <v>850</v>
      </c>
      <c r="D395" s="10">
        <v>0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/>
      <c r="AD395" s="2"/>
      <c r="AE395" s="1"/>
    </row>
    <row r="396" spans="1:31" hidden="1" x14ac:dyDescent="0.35">
      <c r="A396" s="15">
        <f>A395+1</f>
        <v>1602</v>
      </c>
      <c r="B396" s="16">
        <v>16</v>
      </c>
      <c r="C396" s="13" t="s">
        <v>838</v>
      </c>
      <c r="D396" s="10">
        <v>5</v>
      </c>
      <c r="E396" s="10">
        <v>0</v>
      </c>
      <c r="F396" s="10">
        <v>69</v>
      </c>
      <c r="G396" s="10">
        <v>0.8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0.4</v>
      </c>
      <c r="Q396" s="10">
        <v>0.4</v>
      </c>
      <c r="R396" s="10">
        <v>0</v>
      </c>
      <c r="S396" s="10">
        <v>4</v>
      </c>
      <c r="T396" s="10">
        <v>2</v>
      </c>
      <c r="U396" s="10">
        <v>12</v>
      </c>
      <c r="V396" s="10">
        <v>0</v>
      </c>
      <c r="W396" s="10">
        <v>0</v>
      </c>
      <c r="X396" s="10">
        <v>0</v>
      </c>
      <c r="Y396" s="10">
        <v>0</v>
      </c>
      <c r="Z396" s="10">
        <v>0.46</v>
      </c>
      <c r="AA396" s="10">
        <v>0.02</v>
      </c>
      <c r="AB396" s="10">
        <v>0.46</v>
      </c>
      <c r="AC396" s="10"/>
      <c r="AD396" s="2"/>
      <c r="AE396" s="1"/>
    </row>
    <row r="397" spans="1:31" hidden="1" x14ac:dyDescent="0.35">
      <c r="A397" s="15">
        <f t="shared" ref="A397:A423" si="15">A396+1</f>
        <v>1603</v>
      </c>
      <c r="B397" s="16">
        <v>16</v>
      </c>
      <c r="C397" s="13" t="s">
        <v>810</v>
      </c>
      <c r="D397" s="10">
        <v>8</v>
      </c>
      <c r="E397" s="10">
        <v>4</v>
      </c>
      <c r="F397" s="10">
        <v>436</v>
      </c>
      <c r="G397" s="10">
        <v>4.8</v>
      </c>
      <c r="H397" s="10">
        <v>1</v>
      </c>
      <c r="I397" s="10">
        <v>0</v>
      </c>
      <c r="J397" s="10">
        <v>1</v>
      </c>
      <c r="K397" s="10">
        <v>1</v>
      </c>
      <c r="L397" s="10">
        <v>0</v>
      </c>
      <c r="M397" s="10">
        <v>0</v>
      </c>
      <c r="N397" s="10">
        <v>0</v>
      </c>
      <c r="O397" s="10">
        <v>0</v>
      </c>
      <c r="P397" s="10">
        <v>0.4</v>
      </c>
      <c r="Q397" s="10">
        <v>0.4</v>
      </c>
      <c r="R397" s="10">
        <v>1.3</v>
      </c>
      <c r="S397" s="10">
        <v>26</v>
      </c>
      <c r="T397" s="10">
        <v>22</v>
      </c>
      <c r="U397" s="10">
        <v>68</v>
      </c>
      <c r="V397" s="10">
        <v>0.21</v>
      </c>
      <c r="W397" s="10">
        <v>0</v>
      </c>
      <c r="X397" s="10">
        <v>0.21</v>
      </c>
      <c r="Y397" s="10">
        <v>0.21</v>
      </c>
      <c r="Z397" s="10">
        <v>0.09</v>
      </c>
      <c r="AA397" s="10">
        <v>0.27</v>
      </c>
      <c r="AB397" s="10">
        <v>0.09</v>
      </c>
      <c r="AC397" s="10"/>
      <c r="AD397" s="2"/>
      <c r="AE397" s="1"/>
    </row>
    <row r="398" spans="1:31" hidden="1" x14ac:dyDescent="0.35">
      <c r="A398" s="15">
        <f t="shared" si="15"/>
        <v>1604</v>
      </c>
      <c r="B398" s="16">
        <v>16</v>
      </c>
      <c r="C398" s="13" t="s">
        <v>805</v>
      </c>
      <c r="D398" s="10">
        <v>8</v>
      </c>
      <c r="E398" s="10">
        <v>7</v>
      </c>
      <c r="F398" s="10">
        <v>540</v>
      </c>
      <c r="G398" s="10">
        <v>6</v>
      </c>
      <c r="H398" s="10">
        <v>2</v>
      </c>
      <c r="I398" s="10">
        <v>0</v>
      </c>
      <c r="J398" s="10">
        <v>2</v>
      </c>
      <c r="K398" s="10">
        <v>2</v>
      </c>
      <c r="L398" s="10">
        <v>0</v>
      </c>
      <c r="M398" s="10">
        <v>0</v>
      </c>
      <c r="N398" s="10">
        <v>0</v>
      </c>
      <c r="O398" s="10">
        <v>0</v>
      </c>
      <c r="P398" s="10">
        <v>2.7</v>
      </c>
      <c r="Q398" s="10">
        <v>2.7</v>
      </c>
      <c r="R398" s="10">
        <v>0.2</v>
      </c>
      <c r="S398" s="10">
        <v>0</v>
      </c>
      <c r="T398" s="10">
        <v>7</v>
      </c>
      <c r="U398" s="10">
        <v>16</v>
      </c>
      <c r="V398" s="10">
        <v>0.33</v>
      </c>
      <c r="W398" s="10">
        <v>0</v>
      </c>
      <c r="X398" s="10">
        <v>0.33</v>
      </c>
      <c r="Y398" s="10">
        <v>0.33</v>
      </c>
      <c r="Z398" s="10">
        <v>0.45</v>
      </c>
      <c r="AA398" s="10">
        <v>0.03</v>
      </c>
      <c r="AB398" s="10">
        <v>0.45</v>
      </c>
      <c r="AC398" s="10"/>
      <c r="AD398" s="2"/>
      <c r="AE398" s="1"/>
    </row>
    <row r="399" spans="1:31" hidden="1" x14ac:dyDescent="0.35">
      <c r="A399" s="15">
        <f t="shared" si="15"/>
        <v>1605</v>
      </c>
      <c r="B399" s="16">
        <v>16</v>
      </c>
      <c r="C399" s="13" t="s">
        <v>807</v>
      </c>
      <c r="D399" s="10">
        <v>7</v>
      </c>
      <c r="E399" s="10">
        <v>7</v>
      </c>
      <c r="F399" s="10">
        <v>492</v>
      </c>
      <c r="G399" s="10">
        <v>5.5</v>
      </c>
      <c r="H399" s="10">
        <v>1</v>
      </c>
      <c r="I399" s="10">
        <v>1</v>
      </c>
      <c r="J399" s="10">
        <v>2</v>
      </c>
      <c r="K399" s="10">
        <v>1</v>
      </c>
      <c r="L399" s="10">
        <v>0</v>
      </c>
      <c r="M399" s="10">
        <v>0</v>
      </c>
      <c r="N399" s="10">
        <v>0</v>
      </c>
      <c r="O399" s="10">
        <v>0</v>
      </c>
      <c r="P399" s="10">
        <v>0.2</v>
      </c>
      <c r="Q399" s="10">
        <v>0.2</v>
      </c>
      <c r="R399" s="10">
        <v>0.6</v>
      </c>
      <c r="S399" s="10">
        <v>29</v>
      </c>
      <c r="T399" s="10">
        <v>9</v>
      </c>
      <c r="U399" s="10">
        <v>54</v>
      </c>
      <c r="V399" s="10">
        <v>0.18</v>
      </c>
      <c r="W399" s="10">
        <v>0.18</v>
      </c>
      <c r="X399" s="10">
        <v>0.37</v>
      </c>
      <c r="Y399" s="10">
        <v>0.18</v>
      </c>
      <c r="Z399" s="10">
        <v>0.03</v>
      </c>
      <c r="AA399" s="10">
        <v>0.11</v>
      </c>
      <c r="AB399" s="10">
        <v>0.03</v>
      </c>
      <c r="AC399" s="10"/>
      <c r="AD399" s="2"/>
      <c r="AE399" s="1"/>
    </row>
    <row r="400" spans="1:31" hidden="1" x14ac:dyDescent="0.35">
      <c r="A400" s="15">
        <f t="shared" si="15"/>
        <v>1606</v>
      </c>
      <c r="B400" s="16">
        <v>16</v>
      </c>
      <c r="C400" s="13" t="s">
        <v>822</v>
      </c>
      <c r="D400" s="10">
        <v>4</v>
      </c>
      <c r="E400" s="10">
        <v>2</v>
      </c>
      <c r="F400" s="10">
        <v>174</v>
      </c>
      <c r="G400" s="10">
        <v>1.9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0.1</v>
      </c>
      <c r="Q400" s="10">
        <v>0.1</v>
      </c>
      <c r="R400" s="10">
        <v>0.4</v>
      </c>
      <c r="S400" s="10">
        <v>6</v>
      </c>
      <c r="T400" s="10">
        <v>9</v>
      </c>
      <c r="U400" s="10">
        <v>22</v>
      </c>
      <c r="V400" s="10">
        <v>0</v>
      </c>
      <c r="W400" s="10">
        <v>0</v>
      </c>
      <c r="X400" s="10">
        <v>0</v>
      </c>
      <c r="Y400" s="10">
        <v>0</v>
      </c>
      <c r="Z400" s="10">
        <v>7.0000000000000007E-2</v>
      </c>
      <c r="AA400" s="10">
        <v>0.2</v>
      </c>
      <c r="AB400" s="10">
        <v>7.0000000000000007E-2</v>
      </c>
      <c r="AC400" s="10"/>
      <c r="AD400" s="2"/>
      <c r="AE400" s="1"/>
    </row>
    <row r="401" spans="1:31" hidden="1" x14ac:dyDescent="0.35">
      <c r="A401" s="15">
        <f t="shared" si="15"/>
        <v>1607</v>
      </c>
      <c r="B401" s="16">
        <v>16</v>
      </c>
      <c r="C401" s="13" t="s">
        <v>832</v>
      </c>
      <c r="D401" s="10">
        <v>2</v>
      </c>
      <c r="E401" s="10">
        <v>2</v>
      </c>
      <c r="F401" s="10">
        <v>127</v>
      </c>
      <c r="G401" s="10">
        <v>1.4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0.4</v>
      </c>
      <c r="S401" s="10">
        <v>3</v>
      </c>
      <c r="T401" s="10">
        <v>1</v>
      </c>
      <c r="U401" s="10">
        <v>6</v>
      </c>
      <c r="V401" s="10">
        <v>0</v>
      </c>
      <c r="W401" s="10">
        <v>0</v>
      </c>
      <c r="X401" s="10">
        <v>0</v>
      </c>
      <c r="Y401" s="10">
        <v>0</v>
      </c>
      <c r="Z401" s="10">
        <v>0.01</v>
      </c>
      <c r="AA401" s="10">
        <v>0.3</v>
      </c>
      <c r="AB401" s="10">
        <v>0.01</v>
      </c>
      <c r="AC401" s="10"/>
      <c r="AD401" s="2"/>
      <c r="AE401" s="1"/>
    </row>
    <row r="402" spans="1:31" hidden="1" x14ac:dyDescent="0.35">
      <c r="A402" s="15">
        <f t="shared" si="15"/>
        <v>1608</v>
      </c>
      <c r="B402" s="16">
        <v>16</v>
      </c>
      <c r="C402" s="13" t="s">
        <v>797</v>
      </c>
      <c r="D402" s="10">
        <v>8</v>
      </c>
      <c r="E402" s="10">
        <v>8</v>
      </c>
      <c r="F402" s="10">
        <v>720</v>
      </c>
      <c r="G402" s="10">
        <v>8</v>
      </c>
      <c r="H402" s="10">
        <v>0</v>
      </c>
      <c r="I402" s="10">
        <v>1</v>
      </c>
      <c r="J402" s="10">
        <v>1</v>
      </c>
      <c r="K402" s="10">
        <v>0</v>
      </c>
      <c r="L402" s="10">
        <v>0</v>
      </c>
      <c r="M402" s="10">
        <v>0</v>
      </c>
      <c r="N402" s="10">
        <v>2</v>
      </c>
      <c r="O402" s="10">
        <v>0</v>
      </c>
      <c r="P402" s="10">
        <v>0.6</v>
      </c>
      <c r="Q402" s="10">
        <v>0.6</v>
      </c>
      <c r="R402" s="10">
        <v>1.3</v>
      </c>
      <c r="S402" s="10">
        <v>12</v>
      </c>
      <c r="T402" s="10">
        <v>71</v>
      </c>
      <c r="U402" s="10">
        <v>25</v>
      </c>
      <c r="V402" s="10">
        <v>0</v>
      </c>
      <c r="W402" s="10">
        <v>0.12</v>
      </c>
      <c r="X402" s="10">
        <v>0.12</v>
      </c>
      <c r="Y402" s="10">
        <v>0</v>
      </c>
      <c r="Z402" s="10">
        <v>0.08</v>
      </c>
      <c r="AA402" s="10">
        <v>0.17</v>
      </c>
      <c r="AB402" s="10">
        <v>0.08</v>
      </c>
      <c r="AC402" s="10"/>
      <c r="AD402" s="2"/>
      <c r="AE402" s="1"/>
    </row>
    <row r="403" spans="1:31" hidden="1" x14ac:dyDescent="0.35">
      <c r="A403" s="15">
        <f t="shared" si="15"/>
        <v>1609</v>
      </c>
      <c r="B403" s="16">
        <v>16</v>
      </c>
      <c r="C403" s="13" t="s">
        <v>812</v>
      </c>
      <c r="D403" s="10">
        <v>6</v>
      </c>
      <c r="E403" s="10">
        <v>5</v>
      </c>
      <c r="F403" s="10">
        <v>442</v>
      </c>
      <c r="G403" s="10">
        <v>4.9000000000000004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1</v>
      </c>
      <c r="O403" s="10">
        <v>0</v>
      </c>
      <c r="P403" s="10">
        <v>0.2</v>
      </c>
      <c r="Q403" s="10">
        <v>0.2</v>
      </c>
      <c r="R403" s="10">
        <v>0</v>
      </c>
      <c r="S403" s="10">
        <v>5</v>
      </c>
      <c r="T403" s="10">
        <v>32</v>
      </c>
      <c r="U403" s="10">
        <v>2</v>
      </c>
      <c r="V403" s="10">
        <v>0</v>
      </c>
      <c r="W403" s="10">
        <v>0</v>
      </c>
      <c r="X403" s="10">
        <v>0</v>
      </c>
      <c r="Y403" s="10">
        <v>0</v>
      </c>
      <c r="Z403" s="10">
        <v>0.05</v>
      </c>
      <c r="AA403" s="10">
        <v>0</v>
      </c>
      <c r="AB403" s="10">
        <v>0.05</v>
      </c>
      <c r="AC403" s="10"/>
      <c r="AD403" s="2"/>
      <c r="AE403" s="1"/>
    </row>
    <row r="404" spans="1:31" hidden="1" x14ac:dyDescent="0.35">
      <c r="A404" s="15">
        <f t="shared" si="15"/>
        <v>1610</v>
      </c>
      <c r="B404" s="16">
        <v>16</v>
      </c>
      <c r="C404" s="13" t="s">
        <v>836</v>
      </c>
      <c r="D404" s="10">
        <v>7</v>
      </c>
      <c r="E404" s="10">
        <v>0</v>
      </c>
      <c r="F404" s="10">
        <v>151</v>
      </c>
      <c r="G404" s="10">
        <v>1.7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0.9</v>
      </c>
      <c r="Q404" s="10">
        <v>0.9</v>
      </c>
      <c r="R404" s="10">
        <v>0</v>
      </c>
      <c r="S404" s="10">
        <v>0</v>
      </c>
      <c r="T404" s="10">
        <v>1</v>
      </c>
      <c r="U404" s="10">
        <v>9</v>
      </c>
      <c r="V404" s="10">
        <v>0</v>
      </c>
      <c r="W404" s="10">
        <v>0</v>
      </c>
      <c r="X404" s="10">
        <v>0</v>
      </c>
      <c r="Y404" s="10">
        <v>0</v>
      </c>
      <c r="Z404" s="10">
        <v>0.54</v>
      </c>
      <c r="AA404" s="10">
        <v>0.03</v>
      </c>
      <c r="AB404" s="10">
        <v>0.54</v>
      </c>
      <c r="AC404" s="10"/>
      <c r="AD404" s="2"/>
      <c r="AE404" s="1"/>
    </row>
    <row r="405" spans="1:31" hidden="1" x14ac:dyDescent="0.35">
      <c r="A405" s="15">
        <f t="shared" si="15"/>
        <v>1611</v>
      </c>
      <c r="B405" s="16">
        <v>16</v>
      </c>
      <c r="C405" s="13" t="s">
        <v>830</v>
      </c>
      <c r="D405" s="10">
        <v>1</v>
      </c>
      <c r="E405" s="10">
        <v>1</v>
      </c>
      <c r="F405" s="10">
        <v>90</v>
      </c>
      <c r="G405" s="10">
        <v>1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1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/>
      <c r="AD405" s="2"/>
      <c r="AE405" s="1"/>
    </row>
    <row r="406" spans="1:31" hidden="1" x14ac:dyDescent="0.35">
      <c r="A406" s="15">
        <f t="shared" si="15"/>
        <v>1612</v>
      </c>
      <c r="B406" s="16">
        <v>16</v>
      </c>
      <c r="C406" s="13" t="s">
        <v>826</v>
      </c>
      <c r="D406" s="10">
        <v>4</v>
      </c>
      <c r="E406" s="10">
        <v>1</v>
      </c>
      <c r="F406" s="10">
        <v>129</v>
      </c>
      <c r="G406" s="10">
        <v>1.4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0.4</v>
      </c>
      <c r="S406" s="10">
        <v>4</v>
      </c>
      <c r="T406" s="10">
        <v>9</v>
      </c>
      <c r="U406" s="10">
        <v>8</v>
      </c>
      <c r="V406" s="10">
        <v>0</v>
      </c>
      <c r="W406" s="10">
        <v>0</v>
      </c>
      <c r="X406" s="10">
        <v>0</v>
      </c>
      <c r="Y406" s="10">
        <v>0</v>
      </c>
      <c r="Z406" s="10">
        <v>0.01</v>
      </c>
      <c r="AA406" s="10">
        <v>0.25</v>
      </c>
      <c r="AB406" s="10">
        <v>0.01</v>
      </c>
      <c r="AC406" s="10"/>
      <c r="AD406" s="2"/>
      <c r="AE406" s="1"/>
    </row>
    <row r="407" spans="1:31" hidden="1" x14ac:dyDescent="0.35">
      <c r="A407" s="15">
        <f t="shared" si="15"/>
        <v>1613</v>
      </c>
      <c r="B407" s="16">
        <v>16</v>
      </c>
      <c r="C407" s="13" t="s">
        <v>852</v>
      </c>
      <c r="D407" s="10">
        <v>0</v>
      </c>
      <c r="E407" s="10">
        <v>0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/>
      <c r="AD407" s="2"/>
      <c r="AE407" s="1"/>
    </row>
    <row r="408" spans="1:31" hidden="1" x14ac:dyDescent="0.35">
      <c r="A408" s="15">
        <f t="shared" si="15"/>
        <v>1614</v>
      </c>
      <c r="B408" s="16">
        <v>16</v>
      </c>
      <c r="C408" s="13" t="s">
        <v>842</v>
      </c>
      <c r="D408" s="10">
        <v>1</v>
      </c>
      <c r="E408" s="10">
        <v>0</v>
      </c>
      <c r="F408" s="10">
        <v>12</v>
      </c>
      <c r="G408" s="10">
        <v>0.1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1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/>
      <c r="AD408" s="2"/>
      <c r="AE408" s="1"/>
    </row>
    <row r="409" spans="1:31" hidden="1" x14ac:dyDescent="0.35">
      <c r="A409" s="15">
        <f t="shared" si="15"/>
        <v>1615</v>
      </c>
      <c r="B409" s="16">
        <v>16</v>
      </c>
      <c r="C409" s="13" t="s">
        <v>801</v>
      </c>
      <c r="D409" s="10">
        <v>8</v>
      </c>
      <c r="E409" s="10">
        <v>8</v>
      </c>
      <c r="F409" s="10">
        <v>720</v>
      </c>
      <c r="G409" s="10">
        <v>8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1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/>
      <c r="AD409" s="2"/>
      <c r="AE409" s="1"/>
    </row>
    <row r="410" spans="1:31" hidden="1" x14ac:dyDescent="0.35">
      <c r="A410" s="15">
        <f t="shared" si="15"/>
        <v>1616</v>
      </c>
      <c r="B410" s="16">
        <v>16</v>
      </c>
      <c r="C410" s="13" t="s">
        <v>814</v>
      </c>
      <c r="D410" s="10">
        <v>5</v>
      </c>
      <c r="E410" s="10">
        <v>5</v>
      </c>
      <c r="F410" s="10">
        <v>436</v>
      </c>
      <c r="G410" s="10">
        <v>4.8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3</v>
      </c>
      <c r="O410" s="10">
        <v>0</v>
      </c>
      <c r="P410" s="10">
        <v>0</v>
      </c>
      <c r="Q410" s="10">
        <v>0</v>
      </c>
      <c r="R410" s="10">
        <v>0</v>
      </c>
      <c r="S410" s="10">
        <v>1</v>
      </c>
      <c r="T410" s="10">
        <v>15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0.01</v>
      </c>
      <c r="AA410" s="10">
        <v>0</v>
      </c>
      <c r="AB410" s="10">
        <v>0.01</v>
      </c>
      <c r="AC410" s="10"/>
      <c r="AD410" s="2"/>
      <c r="AE410" s="1"/>
    </row>
    <row r="411" spans="1:31" hidden="1" x14ac:dyDescent="0.35">
      <c r="A411" s="15">
        <f t="shared" si="15"/>
        <v>1617</v>
      </c>
      <c r="B411" s="16">
        <v>16</v>
      </c>
      <c r="C411" s="13" t="s">
        <v>808</v>
      </c>
      <c r="D411" s="10">
        <v>8</v>
      </c>
      <c r="E411" s="10">
        <v>7</v>
      </c>
      <c r="F411" s="10">
        <v>641</v>
      </c>
      <c r="G411" s="10">
        <v>7.1</v>
      </c>
      <c r="H411" s="10">
        <v>0</v>
      </c>
      <c r="I411" s="10">
        <v>1</v>
      </c>
      <c r="J411" s="10">
        <v>1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1.5</v>
      </c>
      <c r="Q411" s="10">
        <v>1.5</v>
      </c>
      <c r="R411" s="10">
        <v>0.6</v>
      </c>
      <c r="S411" s="10">
        <v>20</v>
      </c>
      <c r="T411" s="10">
        <v>56</v>
      </c>
      <c r="U411" s="10">
        <v>60</v>
      </c>
      <c r="V411" s="10">
        <v>0</v>
      </c>
      <c r="W411" s="10">
        <v>0.14000000000000001</v>
      </c>
      <c r="X411" s="10">
        <v>0.14000000000000001</v>
      </c>
      <c r="Y411" s="10">
        <v>0</v>
      </c>
      <c r="Z411" s="10">
        <v>0.22</v>
      </c>
      <c r="AA411" s="10">
        <v>0.08</v>
      </c>
      <c r="AB411" s="10">
        <v>0.22</v>
      </c>
      <c r="AC411" s="10"/>
      <c r="AD411" s="2"/>
      <c r="AE411" s="1"/>
    </row>
    <row r="412" spans="1:31" hidden="1" x14ac:dyDescent="0.35">
      <c r="A412" s="15">
        <f t="shared" si="15"/>
        <v>1618</v>
      </c>
      <c r="B412" s="16">
        <v>16</v>
      </c>
      <c r="C412" s="13" t="s">
        <v>816</v>
      </c>
      <c r="D412" s="10">
        <v>5</v>
      </c>
      <c r="E412" s="10">
        <v>5</v>
      </c>
      <c r="F412" s="10">
        <v>379</v>
      </c>
      <c r="G412" s="10">
        <v>4.2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1</v>
      </c>
      <c r="O412" s="10">
        <v>0</v>
      </c>
      <c r="P412" s="10">
        <v>0</v>
      </c>
      <c r="Q412" s="10">
        <v>0</v>
      </c>
      <c r="R412" s="10">
        <v>0</v>
      </c>
      <c r="S412" s="10">
        <v>2</v>
      </c>
      <c r="T412" s="10">
        <v>28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/>
      <c r="AD412" s="2"/>
      <c r="AE412" s="1"/>
    </row>
    <row r="413" spans="1:31" hidden="1" x14ac:dyDescent="0.35">
      <c r="A413" s="15">
        <f t="shared" si="15"/>
        <v>1619</v>
      </c>
      <c r="B413" s="16">
        <v>16</v>
      </c>
      <c r="C413" s="13" t="s">
        <v>803</v>
      </c>
      <c r="D413" s="10">
        <v>8</v>
      </c>
      <c r="E413" s="10">
        <v>8</v>
      </c>
      <c r="F413" s="10">
        <v>720</v>
      </c>
      <c r="G413" s="10">
        <v>8</v>
      </c>
      <c r="H413" s="10">
        <v>1</v>
      </c>
      <c r="I413" s="10">
        <v>0</v>
      </c>
      <c r="J413" s="10">
        <v>1</v>
      </c>
      <c r="K413" s="10">
        <v>1</v>
      </c>
      <c r="L413" s="10">
        <v>0</v>
      </c>
      <c r="M413" s="10">
        <v>0</v>
      </c>
      <c r="N413" s="10">
        <v>4</v>
      </c>
      <c r="O413" s="10">
        <v>0</v>
      </c>
      <c r="P413" s="10">
        <v>0.6</v>
      </c>
      <c r="Q413" s="10">
        <v>0.6</v>
      </c>
      <c r="R413" s="10">
        <v>0.5</v>
      </c>
      <c r="S413" s="10">
        <v>17</v>
      </c>
      <c r="T413" s="10">
        <v>40</v>
      </c>
      <c r="U413" s="10">
        <v>47</v>
      </c>
      <c r="V413" s="10">
        <v>0.12</v>
      </c>
      <c r="W413" s="10">
        <v>0</v>
      </c>
      <c r="X413" s="10">
        <v>0.12</v>
      </c>
      <c r="Y413" s="10">
        <v>0.12</v>
      </c>
      <c r="Z413" s="10">
        <v>0.08</v>
      </c>
      <c r="AA413" s="10">
        <v>0.06</v>
      </c>
      <c r="AB413" s="10">
        <v>0.08</v>
      </c>
      <c r="AC413" s="10"/>
      <c r="AD413" s="2"/>
      <c r="AE413" s="1"/>
    </row>
    <row r="414" spans="1:31" hidden="1" x14ac:dyDescent="0.35">
      <c r="A414" s="15">
        <f t="shared" si="15"/>
        <v>1620</v>
      </c>
      <c r="B414" s="16">
        <v>16</v>
      </c>
      <c r="C414" s="13" t="s">
        <v>834</v>
      </c>
      <c r="D414" s="10">
        <v>1</v>
      </c>
      <c r="E414" s="10">
        <v>1</v>
      </c>
      <c r="F414" s="10">
        <v>45</v>
      </c>
      <c r="G414" s="10">
        <v>0.5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1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5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/>
      <c r="AD414" s="2"/>
      <c r="AE414" s="1"/>
    </row>
    <row r="415" spans="1:31" hidden="1" x14ac:dyDescent="0.35">
      <c r="A415" s="15">
        <f t="shared" si="15"/>
        <v>1621</v>
      </c>
      <c r="B415" s="16">
        <v>16</v>
      </c>
      <c r="C415" s="13" t="s">
        <v>824</v>
      </c>
      <c r="D415" s="10">
        <v>3</v>
      </c>
      <c r="E415" s="10">
        <v>1</v>
      </c>
      <c r="F415" s="10">
        <v>161</v>
      </c>
      <c r="G415" s="10">
        <v>1.8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3</v>
      </c>
      <c r="T415" s="10">
        <v>5</v>
      </c>
      <c r="U415" s="10">
        <v>11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0.01</v>
      </c>
      <c r="AB415" s="10">
        <v>0</v>
      </c>
      <c r="AC415" s="10"/>
      <c r="AD415" s="2"/>
      <c r="AE415" s="1"/>
    </row>
    <row r="416" spans="1:31" hidden="1" x14ac:dyDescent="0.35">
      <c r="A416" s="15">
        <f t="shared" si="15"/>
        <v>1622</v>
      </c>
      <c r="B416" s="16">
        <v>16</v>
      </c>
      <c r="C416" s="13" t="s">
        <v>799</v>
      </c>
      <c r="D416" s="10">
        <v>8</v>
      </c>
      <c r="E416" s="10">
        <v>8</v>
      </c>
      <c r="F416" s="10">
        <v>720</v>
      </c>
      <c r="G416" s="10">
        <v>8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1</v>
      </c>
      <c r="O416" s="10">
        <v>0</v>
      </c>
      <c r="P416" s="10">
        <v>0.4</v>
      </c>
      <c r="Q416" s="10">
        <v>0.4</v>
      </c>
      <c r="R416" s="10">
        <v>0.3</v>
      </c>
      <c r="S416" s="10">
        <v>5</v>
      </c>
      <c r="T416" s="10">
        <v>24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0.05</v>
      </c>
      <c r="AA416" s="10">
        <v>0.04</v>
      </c>
      <c r="AB416" s="10">
        <v>0.05</v>
      </c>
      <c r="AC416" s="10"/>
      <c r="AD416" s="2"/>
      <c r="AE416" s="1"/>
    </row>
    <row r="417" spans="1:31" hidden="1" x14ac:dyDescent="0.35">
      <c r="A417" s="15">
        <f t="shared" si="15"/>
        <v>1623</v>
      </c>
      <c r="B417" s="16">
        <v>16</v>
      </c>
      <c r="C417" s="13" t="s">
        <v>818</v>
      </c>
      <c r="D417" s="10">
        <v>3</v>
      </c>
      <c r="E417" s="10">
        <v>3</v>
      </c>
      <c r="F417" s="10">
        <v>270</v>
      </c>
      <c r="G417" s="10">
        <v>3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1</v>
      </c>
      <c r="O417" s="10">
        <v>0</v>
      </c>
      <c r="P417" s="10">
        <v>0</v>
      </c>
      <c r="Q417" s="10">
        <v>0</v>
      </c>
      <c r="R417" s="10">
        <v>0.1</v>
      </c>
      <c r="S417" s="10">
        <v>5</v>
      </c>
      <c r="T417" s="10">
        <v>11</v>
      </c>
      <c r="U417" s="10">
        <v>8</v>
      </c>
      <c r="V417" s="10">
        <v>0</v>
      </c>
      <c r="W417" s="10">
        <v>0</v>
      </c>
      <c r="X417" s="10">
        <v>0</v>
      </c>
      <c r="Y417" s="10">
        <v>0</v>
      </c>
      <c r="Z417" s="10">
        <v>0.01</v>
      </c>
      <c r="AA417" s="10">
        <v>0.05</v>
      </c>
      <c r="AB417" s="10">
        <v>0.01</v>
      </c>
      <c r="AC417" s="10"/>
      <c r="AD417" s="2"/>
      <c r="AE417" s="1"/>
    </row>
    <row r="418" spans="1:31" hidden="1" x14ac:dyDescent="0.35">
      <c r="A418" s="15">
        <f t="shared" si="15"/>
        <v>1624</v>
      </c>
      <c r="B418" s="16">
        <v>16</v>
      </c>
      <c r="C418" s="13" t="s">
        <v>820</v>
      </c>
      <c r="D418" s="10">
        <v>3</v>
      </c>
      <c r="E418" s="10">
        <v>3</v>
      </c>
      <c r="F418" s="10">
        <v>253</v>
      </c>
      <c r="G418" s="10">
        <v>2.8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0.5</v>
      </c>
      <c r="S418" s="10">
        <v>6</v>
      </c>
      <c r="T418" s="10">
        <v>22</v>
      </c>
      <c r="U418" s="10">
        <v>7</v>
      </c>
      <c r="V418" s="10">
        <v>0</v>
      </c>
      <c r="W418" s="10">
        <v>0</v>
      </c>
      <c r="X418" s="10">
        <v>0</v>
      </c>
      <c r="Y418" s="10">
        <v>0</v>
      </c>
      <c r="Z418" s="10">
        <v>0.02</v>
      </c>
      <c r="AA418" s="10">
        <v>0.16</v>
      </c>
      <c r="AB418" s="10">
        <v>0.02</v>
      </c>
      <c r="AC418" s="10"/>
      <c r="AD418" s="2"/>
      <c r="AE418" s="1"/>
    </row>
    <row r="419" spans="1:31" hidden="1" x14ac:dyDescent="0.35">
      <c r="A419" s="15">
        <f t="shared" si="15"/>
        <v>1625</v>
      </c>
      <c r="B419" s="16">
        <v>16</v>
      </c>
      <c r="C419" s="13" t="s">
        <v>840</v>
      </c>
      <c r="D419" s="10">
        <v>4</v>
      </c>
      <c r="E419" s="10">
        <v>0</v>
      </c>
      <c r="F419" s="10">
        <v>57</v>
      </c>
      <c r="G419" s="10">
        <v>0.6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0.4</v>
      </c>
      <c r="Q419" s="10">
        <v>0.4</v>
      </c>
      <c r="R419" s="10">
        <v>0.6</v>
      </c>
      <c r="S419" s="10">
        <v>5</v>
      </c>
      <c r="T419" s="10">
        <v>2</v>
      </c>
      <c r="U419" s="10">
        <v>15</v>
      </c>
      <c r="V419" s="10">
        <v>0</v>
      </c>
      <c r="W419" s="10">
        <v>0</v>
      </c>
      <c r="X419" s="10">
        <v>0</v>
      </c>
      <c r="Y419" s="10">
        <v>0</v>
      </c>
      <c r="Z419" s="10">
        <v>0.67</v>
      </c>
      <c r="AA419" s="10">
        <v>0.96</v>
      </c>
      <c r="AB419" s="10">
        <v>0.67</v>
      </c>
      <c r="AC419" s="10"/>
      <c r="AD419" s="5"/>
      <c r="AE419" s="1"/>
    </row>
    <row r="420" spans="1:31" hidden="1" x14ac:dyDescent="0.35">
      <c r="A420" s="15">
        <f t="shared" si="15"/>
        <v>1626</v>
      </c>
      <c r="B420" s="16">
        <v>16</v>
      </c>
      <c r="C420" s="13" t="s">
        <v>828</v>
      </c>
      <c r="D420" s="10">
        <v>4</v>
      </c>
      <c r="E420" s="10">
        <v>1</v>
      </c>
      <c r="F420" s="10">
        <v>91</v>
      </c>
      <c r="G420" s="10">
        <v>1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1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5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0.03</v>
      </c>
      <c r="AA420" s="10">
        <v>0</v>
      </c>
      <c r="AB420" s="10">
        <v>0.03</v>
      </c>
      <c r="AC420" s="10"/>
      <c r="AD420" s="5"/>
      <c r="AE420" s="1"/>
    </row>
    <row r="421" spans="1:31" hidden="1" x14ac:dyDescent="0.35">
      <c r="A421" s="15">
        <f t="shared" si="15"/>
        <v>1627</v>
      </c>
      <c r="B421" s="16">
        <v>16</v>
      </c>
      <c r="C421" s="13" t="s">
        <v>846</v>
      </c>
      <c r="D421" s="10">
        <v>1</v>
      </c>
      <c r="E421" s="10">
        <v>1</v>
      </c>
      <c r="F421" s="10">
        <v>45</v>
      </c>
      <c r="G421" s="10">
        <v>0.5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0.1</v>
      </c>
      <c r="Q421" s="10">
        <v>0.1</v>
      </c>
      <c r="R421" s="10">
        <v>0.1</v>
      </c>
      <c r="S421" s="10">
        <v>1</v>
      </c>
      <c r="T421" s="10">
        <v>0</v>
      </c>
      <c r="U421" s="10">
        <v>1</v>
      </c>
      <c r="V421" s="10">
        <v>0</v>
      </c>
      <c r="W421" s="10">
        <v>0</v>
      </c>
      <c r="X421" s="10">
        <v>0</v>
      </c>
      <c r="Y421" s="10">
        <v>0</v>
      </c>
      <c r="Z421" s="10">
        <v>0.16</v>
      </c>
      <c r="AA421" s="10">
        <v>0.2</v>
      </c>
      <c r="AB421" s="10">
        <v>0.16</v>
      </c>
      <c r="AC421" s="10"/>
      <c r="AD421" s="5"/>
      <c r="AE421" s="1"/>
    </row>
    <row r="422" spans="1:31" hidden="1" x14ac:dyDescent="0.35">
      <c r="A422" s="15">
        <f t="shared" si="15"/>
        <v>1628</v>
      </c>
      <c r="B422" s="16">
        <v>16</v>
      </c>
      <c r="C422" s="13" t="s">
        <v>848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/>
      <c r="AD422" s="5"/>
      <c r="AE422" s="1"/>
    </row>
    <row r="423" spans="1:31" hidden="1" x14ac:dyDescent="0.35">
      <c r="A423" s="15">
        <f t="shared" si="15"/>
        <v>1629</v>
      </c>
      <c r="B423" s="16">
        <v>16</v>
      </c>
      <c r="C423" s="13" t="s">
        <v>844</v>
      </c>
      <c r="D423" s="10">
        <v>0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/>
      <c r="AD423" s="2"/>
      <c r="AE423" s="1"/>
    </row>
    <row r="424" spans="1:31" hidden="1" x14ac:dyDescent="0.35">
      <c r="A424" s="15">
        <v>1701</v>
      </c>
      <c r="B424" s="16">
        <v>17</v>
      </c>
      <c r="C424" s="13" t="s">
        <v>901</v>
      </c>
      <c r="D424" s="10">
        <v>0</v>
      </c>
      <c r="E424" s="10">
        <v>0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/>
      <c r="AD424" s="2"/>
      <c r="AE424" s="1"/>
    </row>
    <row r="425" spans="1:31" hidden="1" x14ac:dyDescent="0.35">
      <c r="A425" s="15">
        <f>A424+1</f>
        <v>1702</v>
      </c>
      <c r="B425" s="16">
        <v>17</v>
      </c>
      <c r="C425" s="13" t="s">
        <v>882</v>
      </c>
      <c r="D425" s="10">
        <v>3</v>
      </c>
      <c r="E425" s="10">
        <v>2</v>
      </c>
      <c r="F425" s="10">
        <v>126</v>
      </c>
      <c r="G425" s="10">
        <v>1.4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1</v>
      </c>
      <c r="O425" s="10">
        <v>0</v>
      </c>
      <c r="P425" s="10">
        <v>0.1</v>
      </c>
      <c r="Q425" s="10">
        <v>0.1</v>
      </c>
      <c r="R425" s="10">
        <v>0.1</v>
      </c>
      <c r="S425" s="10">
        <v>2</v>
      </c>
      <c r="T425" s="10">
        <v>5</v>
      </c>
      <c r="U425" s="10">
        <v>5</v>
      </c>
      <c r="V425" s="10">
        <v>0</v>
      </c>
      <c r="W425" s="10">
        <v>0</v>
      </c>
      <c r="X425" s="10">
        <v>0</v>
      </c>
      <c r="Y425" s="10">
        <v>0</v>
      </c>
      <c r="Z425" s="10">
        <v>0.05</v>
      </c>
      <c r="AA425" s="10">
        <v>0.05</v>
      </c>
      <c r="AB425" s="10">
        <v>0.05</v>
      </c>
      <c r="AC425" s="10"/>
      <c r="AD425" s="2"/>
      <c r="AE425" s="1"/>
    </row>
    <row r="426" spans="1:31" hidden="1" x14ac:dyDescent="0.35">
      <c r="A426" s="15">
        <f t="shared" ref="A426:A449" si="16">A425+1</f>
        <v>1703</v>
      </c>
      <c r="B426" s="16">
        <v>17</v>
      </c>
      <c r="C426" s="13" t="s">
        <v>888</v>
      </c>
      <c r="D426" s="10">
        <v>3</v>
      </c>
      <c r="E426" s="10">
        <v>2</v>
      </c>
      <c r="F426" s="10">
        <v>151</v>
      </c>
      <c r="G426" s="10">
        <v>1.7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1</v>
      </c>
      <c r="O426" s="10">
        <v>0</v>
      </c>
      <c r="P426" s="10">
        <v>0.2</v>
      </c>
      <c r="Q426" s="10">
        <v>0.2</v>
      </c>
      <c r="R426" s="10">
        <v>0.7</v>
      </c>
      <c r="S426" s="10">
        <v>1</v>
      </c>
      <c r="T426" s="10">
        <v>1</v>
      </c>
      <c r="U426" s="10">
        <v>10</v>
      </c>
      <c r="V426" s="10">
        <v>0</v>
      </c>
      <c r="W426" s="10">
        <v>0</v>
      </c>
      <c r="X426" s="10">
        <v>0</v>
      </c>
      <c r="Y426" s="10">
        <v>0</v>
      </c>
      <c r="Z426" s="10">
        <v>0.12</v>
      </c>
      <c r="AA426" s="10">
        <v>0.39</v>
      </c>
      <c r="AB426" s="10">
        <v>0.12</v>
      </c>
      <c r="AC426" s="10"/>
      <c r="AD426" s="2"/>
      <c r="AE426" s="1"/>
    </row>
    <row r="427" spans="1:31" hidden="1" x14ac:dyDescent="0.35">
      <c r="A427" s="15">
        <f t="shared" si="16"/>
        <v>1704</v>
      </c>
      <c r="B427" s="16">
        <v>17</v>
      </c>
      <c r="C427" s="13" t="s">
        <v>892</v>
      </c>
      <c r="D427" s="10">
        <v>3</v>
      </c>
      <c r="E427" s="10">
        <v>0</v>
      </c>
      <c r="F427" s="10">
        <v>60</v>
      </c>
      <c r="G427" s="10">
        <v>0.7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1</v>
      </c>
      <c r="T427" s="10">
        <v>2</v>
      </c>
      <c r="U427" s="10">
        <v>1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/>
      <c r="AD427" s="2"/>
      <c r="AE427" s="1"/>
    </row>
    <row r="428" spans="1:31" hidden="1" x14ac:dyDescent="0.35">
      <c r="A428" s="15">
        <f t="shared" si="16"/>
        <v>1705</v>
      </c>
      <c r="B428" s="16">
        <v>17</v>
      </c>
      <c r="C428" s="13" t="s">
        <v>865</v>
      </c>
      <c r="D428" s="10">
        <v>8</v>
      </c>
      <c r="E428" s="10">
        <v>6</v>
      </c>
      <c r="F428" s="10">
        <v>529</v>
      </c>
      <c r="G428" s="10">
        <v>5.9</v>
      </c>
      <c r="H428" s="10">
        <v>0</v>
      </c>
      <c r="I428" s="10">
        <v>1</v>
      </c>
      <c r="J428" s="10">
        <v>1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0.9</v>
      </c>
      <c r="Q428" s="10">
        <v>0.9</v>
      </c>
      <c r="R428" s="10">
        <v>0.3</v>
      </c>
      <c r="S428" s="10">
        <v>11</v>
      </c>
      <c r="T428" s="10">
        <v>4</v>
      </c>
      <c r="U428" s="10">
        <v>33</v>
      </c>
      <c r="V428" s="10">
        <v>0</v>
      </c>
      <c r="W428" s="10">
        <v>0.17</v>
      </c>
      <c r="X428" s="10">
        <v>0.17</v>
      </c>
      <c r="Y428" s="10">
        <v>0</v>
      </c>
      <c r="Z428" s="10">
        <v>0.15</v>
      </c>
      <c r="AA428" s="10">
        <v>0.04</v>
      </c>
      <c r="AB428" s="10">
        <v>0.15</v>
      </c>
      <c r="AC428" s="10"/>
      <c r="AD428" s="2"/>
      <c r="AE428" s="1"/>
    </row>
    <row r="429" spans="1:31" hidden="1" x14ac:dyDescent="0.35">
      <c r="A429" s="15">
        <f t="shared" si="16"/>
        <v>1706</v>
      </c>
      <c r="B429" s="16">
        <v>17</v>
      </c>
      <c r="C429" s="13" t="s">
        <v>884</v>
      </c>
      <c r="D429" s="10">
        <v>5</v>
      </c>
      <c r="E429" s="10">
        <v>3</v>
      </c>
      <c r="F429" s="10">
        <v>171</v>
      </c>
      <c r="G429" s="10">
        <v>1.9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0.1</v>
      </c>
      <c r="Q429" s="10">
        <v>0.1</v>
      </c>
      <c r="R429" s="10">
        <v>0.1</v>
      </c>
      <c r="S429" s="10">
        <v>1</v>
      </c>
      <c r="T429" s="10">
        <v>2</v>
      </c>
      <c r="U429" s="10">
        <v>5</v>
      </c>
      <c r="V429" s="10">
        <v>0</v>
      </c>
      <c r="W429" s="10">
        <v>0</v>
      </c>
      <c r="X429" s="10">
        <v>0</v>
      </c>
      <c r="Y429" s="10">
        <v>0</v>
      </c>
      <c r="Z429" s="10">
        <v>0.06</v>
      </c>
      <c r="AA429" s="10">
        <v>0.05</v>
      </c>
      <c r="AB429" s="10">
        <v>0.06</v>
      </c>
      <c r="AC429" s="10"/>
      <c r="AD429" s="2"/>
      <c r="AE429" s="1"/>
    </row>
    <row r="430" spans="1:31" hidden="1" x14ac:dyDescent="0.35">
      <c r="A430" s="15">
        <f t="shared" si="16"/>
        <v>1707</v>
      </c>
      <c r="B430" s="16">
        <v>17</v>
      </c>
      <c r="C430" s="13" t="s">
        <v>895</v>
      </c>
      <c r="D430" s="10">
        <v>2</v>
      </c>
      <c r="E430" s="10">
        <v>0</v>
      </c>
      <c r="F430" s="10">
        <v>2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/>
      <c r="AD430" s="2"/>
      <c r="AE430" s="1"/>
    </row>
    <row r="431" spans="1:31" hidden="1" x14ac:dyDescent="0.35">
      <c r="A431" s="15">
        <f t="shared" si="16"/>
        <v>1708</v>
      </c>
      <c r="B431" s="16">
        <v>17</v>
      </c>
      <c r="C431" s="13" t="s">
        <v>880</v>
      </c>
      <c r="D431" s="10">
        <v>6</v>
      </c>
      <c r="E431" s="10">
        <v>3</v>
      </c>
      <c r="F431" s="10">
        <v>312</v>
      </c>
      <c r="G431" s="10">
        <v>3.5</v>
      </c>
      <c r="H431" s="10">
        <v>1</v>
      </c>
      <c r="I431" s="10">
        <v>0</v>
      </c>
      <c r="J431" s="10">
        <v>1</v>
      </c>
      <c r="K431" s="10">
        <v>1</v>
      </c>
      <c r="L431" s="10">
        <v>0</v>
      </c>
      <c r="M431" s="10">
        <v>0</v>
      </c>
      <c r="N431" s="10">
        <v>0</v>
      </c>
      <c r="O431" s="10">
        <v>0</v>
      </c>
      <c r="P431" s="10">
        <v>0.5</v>
      </c>
      <c r="Q431" s="10">
        <v>0.5</v>
      </c>
      <c r="R431" s="10">
        <v>0.6</v>
      </c>
      <c r="S431" s="10">
        <v>0</v>
      </c>
      <c r="T431" s="10">
        <v>6</v>
      </c>
      <c r="U431" s="10">
        <v>1</v>
      </c>
      <c r="V431" s="10">
        <v>0.28999999999999998</v>
      </c>
      <c r="W431" s="10">
        <v>0</v>
      </c>
      <c r="X431" s="10">
        <v>0.28999999999999998</v>
      </c>
      <c r="Y431" s="10">
        <v>0.28999999999999998</v>
      </c>
      <c r="Z431" s="10">
        <v>0.15</v>
      </c>
      <c r="AA431" s="10">
        <v>0.18</v>
      </c>
      <c r="AB431" s="10">
        <v>0.15</v>
      </c>
      <c r="AC431" s="10"/>
      <c r="AD431" s="2"/>
      <c r="AE431" s="1"/>
    </row>
    <row r="432" spans="1:31" hidden="1" x14ac:dyDescent="0.35">
      <c r="A432" s="15">
        <f t="shared" si="16"/>
        <v>1709</v>
      </c>
      <c r="B432" s="16">
        <v>17</v>
      </c>
      <c r="C432" s="13" t="s">
        <v>878</v>
      </c>
      <c r="D432" s="10">
        <v>6</v>
      </c>
      <c r="E432" s="10">
        <v>3</v>
      </c>
      <c r="F432" s="10">
        <v>260</v>
      </c>
      <c r="G432" s="10">
        <v>2.9</v>
      </c>
      <c r="H432" s="10">
        <v>1</v>
      </c>
      <c r="I432" s="10">
        <v>0</v>
      </c>
      <c r="J432" s="10">
        <v>1</v>
      </c>
      <c r="K432" s="10">
        <v>1</v>
      </c>
      <c r="L432" s="10">
        <v>0</v>
      </c>
      <c r="M432" s="10">
        <v>0</v>
      </c>
      <c r="N432" s="10">
        <v>0</v>
      </c>
      <c r="O432" s="10">
        <v>0</v>
      </c>
      <c r="P432" s="10">
        <v>0.5</v>
      </c>
      <c r="Q432" s="10">
        <v>0.5</v>
      </c>
      <c r="R432" s="10">
        <v>0.5</v>
      </c>
      <c r="S432" s="10">
        <v>3</v>
      </c>
      <c r="T432" s="10">
        <v>3</v>
      </c>
      <c r="U432" s="10">
        <v>8</v>
      </c>
      <c r="V432" s="10">
        <v>0.35</v>
      </c>
      <c r="W432" s="10">
        <v>0</v>
      </c>
      <c r="X432" s="10">
        <v>0.35</v>
      </c>
      <c r="Y432" s="10">
        <v>0.35</v>
      </c>
      <c r="Z432" s="10">
        <v>0.16</v>
      </c>
      <c r="AA432" s="10">
        <v>0.16</v>
      </c>
      <c r="AB432" s="10">
        <v>0.16</v>
      </c>
      <c r="AC432" s="10"/>
      <c r="AD432" s="2"/>
      <c r="AE432" s="1"/>
    </row>
    <row r="433" spans="1:31" hidden="1" x14ac:dyDescent="0.35">
      <c r="A433" s="15">
        <f t="shared" si="16"/>
        <v>1710</v>
      </c>
      <c r="B433" s="16">
        <v>17</v>
      </c>
      <c r="C433" s="13" t="s">
        <v>873</v>
      </c>
      <c r="D433" s="10">
        <v>7</v>
      </c>
      <c r="E433" s="10">
        <v>5</v>
      </c>
      <c r="F433" s="10">
        <v>466</v>
      </c>
      <c r="G433" s="10">
        <v>5.2</v>
      </c>
      <c r="H433" s="10">
        <v>1</v>
      </c>
      <c r="I433" s="10">
        <v>0</v>
      </c>
      <c r="J433" s="10">
        <v>1</v>
      </c>
      <c r="K433" s="10">
        <v>0</v>
      </c>
      <c r="L433" s="10">
        <v>1</v>
      </c>
      <c r="M433" s="10">
        <v>1</v>
      </c>
      <c r="N433" s="10">
        <v>0</v>
      </c>
      <c r="O433" s="10">
        <v>0</v>
      </c>
      <c r="P433" s="10">
        <v>0.8</v>
      </c>
      <c r="Q433" s="10">
        <v>0</v>
      </c>
      <c r="R433" s="10">
        <v>0.3</v>
      </c>
      <c r="S433" s="10">
        <v>6</v>
      </c>
      <c r="T433" s="10">
        <v>11</v>
      </c>
      <c r="U433" s="10">
        <v>23</v>
      </c>
      <c r="V433" s="10">
        <v>0.19</v>
      </c>
      <c r="W433" s="10">
        <v>0</v>
      </c>
      <c r="X433" s="10">
        <v>0.19</v>
      </c>
      <c r="Y433" s="10">
        <v>0</v>
      </c>
      <c r="Z433" s="10">
        <v>0.16</v>
      </c>
      <c r="AA433" s="10">
        <v>0.05</v>
      </c>
      <c r="AB433" s="10">
        <v>0.01</v>
      </c>
      <c r="AC433" s="10"/>
      <c r="AD433" s="2"/>
      <c r="AE433" s="1"/>
    </row>
    <row r="434" spans="1:31" hidden="1" x14ac:dyDescent="0.35">
      <c r="A434" s="15">
        <f t="shared" si="16"/>
        <v>1711</v>
      </c>
      <c r="B434" s="16">
        <v>17</v>
      </c>
      <c r="C434" s="13" t="s">
        <v>857</v>
      </c>
      <c r="D434" s="10">
        <v>8</v>
      </c>
      <c r="E434" s="10">
        <v>8</v>
      </c>
      <c r="F434" s="10">
        <v>720</v>
      </c>
      <c r="G434" s="10">
        <v>8</v>
      </c>
      <c r="H434" s="10">
        <v>0</v>
      </c>
      <c r="I434" s="10">
        <v>3</v>
      </c>
      <c r="J434" s="10">
        <v>3</v>
      </c>
      <c r="K434" s="10">
        <v>0</v>
      </c>
      <c r="L434" s="10">
        <v>0</v>
      </c>
      <c r="M434" s="10">
        <v>0</v>
      </c>
      <c r="N434" s="10">
        <v>3</v>
      </c>
      <c r="O434" s="10">
        <v>0</v>
      </c>
      <c r="P434" s="10">
        <v>0.2</v>
      </c>
      <c r="Q434" s="10">
        <v>0.2</v>
      </c>
      <c r="R434" s="10">
        <v>1.1000000000000001</v>
      </c>
      <c r="S434" s="10">
        <v>2</v>
      </c>
      <c r="T434" s="10">
        <v>46</v>
      </c>
      <c r="U434" s="10">
        <v>7</v>
      </c>
      <c r="V434" s="10">
        <v>0</v>
      </c>
      <c r="W434" s="10">
        <v>0.37</v>
      </c>
      <c r="X434" s="10">
        <v>0.37</v>
      </c>
      <c r="Y434" s="10">
        <v>0</v>
      </c>
      <c r="Z434" s="10">
        <v>0.02</v>
      </c>
      <c r="AA434" s="10">
        <v>0.13</v>
      </c>
      <c r="AB434" s="10">
        <v>0.02</v>
      </c>
      <c r="AC434" s="10"/>
      <c r="AD434" s="2"/>
      <c r="AE434" s="1"/>
    </row>
    <row r="435" spans="1:31" hidden="1" x14ac:dyDescent="0.35">
      <c r="A435" s="15">
        <f t="shared" si="16"/>
        <v>1712</v>
      </c>
      <c r="B435" s="16">
        <v>17</v>
      </c>
      <c r="C435" s="13" t="s">
        <v>875</v>
      </c>
      <c r="D435" s="10">
        <v>4</v>
      </c>
      <c r="E435" s="10">
        <v>4</v>
      </c>
      <c r="F435" s="10">
        <v>345</v>
      </c>
      <c r="G435" s="10">
        <v>3.8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1</v>
      </c>
      <c r="O435" s="10">
        <v>0</v>
      </c>
      <c r="P435" s="10">
        <v>0.6</v>
      </c>
      <c r="Q435" s="10">
        <v>0.6</v>
      </c>
      <c r="R435" s="10">
        <v>0</v>
      </c>
      <c r="S435" s="10">
        <v>10</v>
      </c>
      <c r="T435" s="10">
        <v>13</v>
      </c>
      <c r="U435" s="10">
        <v>17</v>
      </c>
      <c r="V435" s="10">
        <v>0</v>
      </c>
      <c r="W435" s="10">
        <v>0</v>
      </c>
      <c r="X435" s="10">
        <v>0</v>
      </c>
      <c r="Y435" s="10">
        <v>0</v>
      </c>
      <c r="Z435" s="10">
        <v>0.15</v>
      </c>
      <c r="AA435" s="10">
        <v>0.01</v>
      </c>
      <c r="AB435" s="10">
        <v>0.15</v>
      </c>
      <c r="AC435" s="10"/>
      <c r="AD435" s="2"/>
      <c r="AE435" s="1"/>
    </row>
    <row r="436" spans="1:31" hidden="1" x14ac:dyDescent="0.35">
      <c r="A436" s="15">
        <f t="shared" si="16"/>
        <v>1713</v>
      </c>
      <c r="B436" s="16">
        <v>17</v>
      </c>
      <c r="C436" s="13" t="s">
        <v>897</v>
      </c>
      <c r="D436" s="10">
        <v>0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/>
      <c r="AD436" s="2"/>
      <c r="AE436" s="1"/>
    </row>
    <row r="437" spans="1:31" hidden="1" x14ac:dyDescent="0.35">
      <c r="A437" s="15">
        <f t="shared" si="16"/>
        <v>1714</v>
      </c>
      <c r="B437" s="16">
        <v>17</v>
      </c>
      <c r="C437" s="13" t="s">
        <v>886</v>
      </c>
      <c r="D437" s="10">
        <v>2</v>
      </c>
      <c r="E437" s="10">
        <v>1</v>
      </c>
      <c r="F437" s="10">
        <v>134</v>
      </c>
      <c r="G437" s="10">
        <v>1.5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2</v>
      </c>
      <c r="T437" s="10">
        <v>14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/>
      <c r="AD437" s="2"/>
      <c r="AE437" s="1"/>
    </row>
    <row r="438" spans="1:31" hidden="1" x14ac:dyDescent="0.35">
      <c r="A438" s="15">
        <f t="shared" si="16"/>
        <v>1715</v>
      </c>
      <c r="B438" s="16">
        <v>17</v>
      </c>
      <c r="C438" s="13" t="s">
        <v>899</v>
      </c>
      <c r="D438" s="10">
        <v>0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/>
      <c r="AD438" s="2"/>
      <c r="AE438" s="1"/>
    </row>
    <row r="439" spans="1:31" hidden="1" x14ac:dyDescent="0.35">
      <c r="A439" s="15">
        <f t="shared" si="16"/>
        <v>1716</v>
      </c>
      <c r="B439" s="16">
        <v>17</v>
      </c>
      <c r="C439" s="13" t="s">
        <v>890</v>
      </c>
      <c r="D439" s="10">
        <v>5</v>
      </c>
      <c r="E439" s="10">
        <v>0</v>
      </c>
      <c r="F439" s="10">
        <v>77</v>
      </c>
      <c r="G439" s="10">
        <v>0.9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0.6</v>
      </c>
      <c r="Q439" s="10">
        <v>0.6</v>
      </c>
      <c r="R439" s="10">
        <v>0</v>
      </c>
      <c r="S439" s="10">
        <v>2</v>
      </c>
      <c r="T439" s="10">
        <v>1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0.75</v>
      </c>
      <c r="AA439" s="10">
        <v>0</v>
      </c>
      <c r="AB439" s="10">
        <v>0.75</v>
      </c>
      <c r="AC439" s="10"/>
      <c r="AD439" s="2"/>
      <c r="AE439" s="1"/>
    </row>
    <row r="440" spans="1:31" hidden="1" x14ac:dyDescent="0.35">
      <c r="A440" s="15">
        <f t="shared" si="16"/>
        <v>1717</v>
      </c>
      <c r="B440" s="16">
        <v>17</v>
      </c>
      <c r="C440" s="13" t="s">
        <v>377</v>
      </c>
      <c r="D440" s="10">
        <v>2</v>
      </c>
      <c r="E440" s="10">
        <v>0</v>
      </c>
      <c r="F440" s="10">
        <v>15</v>
      </c>
      <c r="G440" s="10">
        <v>0.2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1</v>
      </c>
      <c r="U440" s="10">
        <v>1</v>
      </c>
      <c r="V440" s="10">
        <v>0</v>
      </c>
      <c r="W440" s="10">
        <v>0</v>
      </c>
      <c r="X440" s="10">
        <v>0</v>
      </c>
      <c r="Y440" s="10">
        <v>0</v>
      </c>
      <c r="Z440" s="10">
        <v>0.14000000000000001</v>
      </c>
      <c r="AA440" s="10">
        <v>0</v>
      </c>
      <c r="AB440" s="10">
        <v>0.14000000000000001</v>
      </c>
      <c r="AC440" s="10"/>
      <c r="AD440" s="2"/>
      <c r="AE440" s="1"/>
    </row>
    <row r="441" spans="1:31" hidden="1" x14ac:dyDescent="0.35">
      <c r="A441" s="15">
        <f t="shared" si="16"/>
        <v>1718</v>
      </c>
      <c r="B441" s="16">
        <v>17</v>
      </c>
      <c r="C441" s="13" t="s">
        <v>859</v>
      </c>
      <c r="D441" s="10">
        <v>8</v>
      </c>
      <c r="E441" s="10">
        <v>8</v>
      </c>
      <c r="F441" s="10">
        <v>711</v>
      </c>
      <c r="G441" s="10">
        <v>7.9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3</v>
      </c>
      <c r="O441" s="10">
        <v>0</v>
      </c>
      <c r="P441" s="10">
        <v>0.1</v>
      </c>
      <c r="Q441" s="10">
        <v>0.1</v>
      </c>
      <c r="R441" s="10">
        <v>0.1</v>
      </c>
      <c r="S441" s="10">
        <v>12</v>
      </c>
      <c r="T441" s="10">
        <v>21</v>
      </c>
      <c r="U441" s="10">
        <v>22</v>
      </c>
      <c r="V441" s="10">
        <v>0</v>
      </c>
      <c r="W441" s="10">
        <v>0</v>
      </c>
      <c r="X441" s="10">
        <v>0</v>
      </c>
      <c r="Y441" s="10">
        <v>0</v>
      </c>
      <c r="Z441" s="10">
        <v>0.02</v>
      </c>
      <c r="AA441" s="10">
        <v>0.02</v>
      </c>
      <c r="AB441" s="10">
        <v>0.02</v>
      </c>
      <c r="AC441" s="10"/>
      <c r="AD441" s="2"/>
      <c r="AE441" s="1"/>
    </row>
    <row r="442" spans="1:31" hidden="1" x14ac:dyDescent="0.35">
      <c r="A442" s="15">
        <f t="shared" si="16"/>
        <v>1719</v>
      </c>
      <c r="B442" s="16">
        <v>17</v>
      </c>
      <c r="C442" s="13" t="s">
        <v>867</v>
      </c>
      <c r="D442" s="10">
        <v>6</v>
      </c>
      <c r="E442" s="10">
        <v>6</v>
      </c>
      <c r="F442" s="10">
        <v>540</v>
      </c>
      <c r="G442" s="10">
        <v>6</v>
      </c>
      <c r="H442" s="10">
        <v>1</v>
      </c>
      <c r="I442" s="10">
        <v>0</v>
      </c>
      <c r="J442" s="10">
        <v>1</v>
      </c>
      <c r="K442" s="10">
        <v>1</v>
      </c>
      <c r="L442" s="10">
        <v>0</v>
      </c>
      <c r="M442" s="10">
        <v>0</v>
      </c>
      <c r="N442" s="10">
        <v>0</v>
      </c>
      <c r="O442" s="10">
        <v>0</v>
      </c>
      <c r="P442" s="10">
        <v>0.4</v>
      </c>
      <c r="Q442" s="10">
        <v>0.4</v>
      </c>
      <c r="R442" s="10">
        <v>0.3</v>
      </c>
      <c r="S442" s="10">
        <v>4</v>
      </c>
      <c r="T442" s="10">
        <v>13</v>
      </c>
      <c r="U442" s="10">
        <v>10</v>
      </c>
      <c r="V442" s="10">
        <v>0.17</v>
      </c>
      <c r="W442" s="10">
        <v>0</v>
      </c>
      <c r="X442" s="10">
        <v>0.17</v>
      </c>
      <c r="Y442" s="10">
        <v>0.17</v>
      </c>
      <c r="Z442" s="10">
        <v>0.06</v>
      </c>
      <c r="AA442" s="10">
        <v>0.04</v>
      </c>
      <c r="AB442" s="10">
        <v>0.06</v>
      </c>
      <c r="AC442" s="10"/>
      <c r="AD442" s="2"/>
      <c r="AE442" s="1"/>
    </row>
    <row r="443" spans="1:31" hidden="1" x14ac:dyDescent="0.35">
      <c r="A443" s="15">
        <f t="shared" si="16"/>
        <v>1720</v>
      </c>
      <c r="B443" s="16">
        <v>17</v>
      </c>
      <c r="C443" s="13" t="s">
        <v>863</v>
      </c>
      <c r="D443" s="10">
        <v>8</v>
      </c>
      <c r="E443" s="10">
        <v>7</v>
      </c>
      <c r="F443" s="10">
        <v>668</v>
      </c>
      <c r="G443" s="10">
        <v>7.4</v>
      </c>
      <c r="H443" s="10">
        <v>1</v>
      </c>
      <c r="I443" s="10">
        <v>1</v>
      </c>
      <c r="J443" s="10">
        <v>2</v>
      </c>
      <c r="K443" s="10">
        <v>1</v>
      </c>
      <c r="L443" s="10">
        <v>0</v>
      </c>
      <c r="M443" s="10">
        <v>0</v>
      </c>
      <c r="N443" s="10">
        <v>1</v>
      </c>
      <c r="O443" s="10">
        <v>0</v>
      </c>
      <c r="P443" s="10">
        <v>0.6</v>
      </c>
      <c r="Q443" s="10">
        <v>0.6</v>
      </c>
      <c r="R443" s="10">
        <v>0.1</v>
      </c>
      <c r="S443" s="10">
        <v>10</v>
      </c>
      <c r="T443" s="10">
        <v>31</v>
      </c>
      <c r="U443" s="10">
        <v>2</v>
      </c>
      <c r="V443" s="10">
        <v>0.13</v>
      </c>
      <c r="W443" s="10">
        <v>0.13</v>
      </c>
      <c r="X443" s="10">
        <v>0.27</v>
      </c>
      <c r="Y443" s="10">
        <v>0.13</v>
      </c>
      <c r="Z443" s="10">
        <v>0.08</v>
      </c>
      <c r="AA443" s="10">
        <v>0.01</v>
      </c>
      <c r="AB443" s="10">
        <v>0.08</v>
      </c>
      <c r="AC443" s="10"/>
      <c r="AD443" s="2"/>
      <c r="AE443" s="1"/>
    </row>
    <row r="444" spans="1:31" hidden="1" x14ac:dyDescent="0.35">
      <c r="A444" s="15">
        <f t="shared" si="16"/>
        <v>1721</v>
      </c>
      <c r="B444" s="16">
        <v>17</v>
      </c>
      <c r="C444" s="13" t="s">
        <v>894</v>
      </c>
      <c r="D444" s="10">
        <v>1</v>
      </c>
      <c r="E444" s="10">
        <v>0</v>
      </c>
      <c r="F444" s="10">
        <v>28</v>
      </c>
      <c r="G444" s="10">
        <v>0.3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1</v>
      </c>
      <c r="T444" s="10">
        <v>1</v>
      </c>
      <c r="U444" s="10">
        <v>4</v>
      </c>
      <c r="V444" s="10">
        <v>0</v>
      </c>
      <c r="W444" s="10">
        <v>0</v>
      </c>
      <c r="X444" s="10">
        <v>0</v>
      </c>
      <c r="Y444" s="10">
        <v>0</v>
      </c>
      <c r="Z444" s="10">
        <v>0.11</v>
      </c>
      <c r="AA444" s="10">
        <v>0</v>
      </c>
      <c r="AB444" s="10">
        <v>0.11</v>
      </c>
      <c r="AC444" s="10"/>
      <c r="AD444" s="2"/>
      <c r="AE444" s="1"/>
    </row>
    <row r="445" spans="1:31" hidden="1" x14ac:dyDescent="0.35">
      <c r="A445" s="15">
        <f t="shared" si="16"/>
        <v>1722</v>
      </c>
      <c r="B445" s="16">
        <v>17</v>
      </c>
      <c r="C445" s="13" t="s">
        <v>869</v>
      </c>
      <c r="D445" s="10">
        <v>5</v>
      </c>
      <c r="E445" s="10">
        <v>5</v>
      </c>
      <c r="F445" s="10">
        <v>392</v>
      </c>
      <c r="G445" s="10">
        <v>4.4000000000000004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1</v>
      </c>
      <c r="O445" s="10">
        <v>1</v>
      </c>
      <c r="P445" s="10">
        <v>0</v>
      </c>
      <c r="Q445" s="10">
        <v>0</v>
      </c>
      <c r="R445" s="10">
        <v>0</v>
      </c>
      <c r="S445" s="10">
        <v>11</v>
      </c>
      <c r="T445" s="10">
        <v>21</v>
      </c>
      <c r="U445" s="10">
        <v>8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/>
      <c r="AD445" s="2"/>
      <c r="AE445" s="1"/>
    </row>
    <row r="446" spans="1:31" hidden="1" x14ac:dyDescent="0.35">
      <c r="A446" s="15">
        <f t="shared" si="16"/>
        <v>1723</v>
      </c>
      <c r="B446" s="16">
        <v>17</v>
      </c>
      <c r="C446" s="13" t="s">
        <v>855</v>
      </c>
      <c r="D446" s="10">
        <v>8</v>
      </c>
      <c r="E446" s="10">
        <v>8</v>
      </c>
      <c r="F446" s="10">
        <v>720</v>
      </c>
      <c r="G446" s="10">
        <v>8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1</v>
      </c>
      <c r="O446" s="10">
        <v>0</v>
      </c>
      <c r="P446" s="10">
        <v>0</v>
      </c>
      <c r="Q446" s="10">
        <v>0</v>
      </c>
      <c r="R446" s="10">
        <v>0.2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0.02</v>
      </c>
      <c r="AB446" s="10">
        <v>0</v>
      </c>
      <c r="AC446" s="10"/>
      <c r="AD446" s="2"/>
      <c r="AE446" s="1"/>
    </row>
    <row r="447" spans="1:31" hidden="1" x14ac:dyDescent="0.35">
      <c r="A447" s="15">
        <f t="shared" si="16"/>
        <v>1724</v>
      </c>
      <c r="B447" s="16">
        <v>17</v>
      </c>
      <c r="C447" s="13" t="s">
        <v>876</v>
      </c>
      <c r="D447" s="10">
        <v>6</v>
      </c>
      <c r="E447" s="10">
        <v>4</v>
      </c>
      <c r="F447" s="10">
        <v>273</v>
      </c>
      <c r="G447" s="10">
        <v>3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1</v>
      </c>
      <c r="O447" s="10">
        <v>0</v>
      </c>
      <c r="P447" s="10">
        <v>0.1</v>
      </c>
      <c r="Q447" s="10">
        <v>0.1</v>
      </c>
      <c r="R447" s="10">
        <v>0.6</v>
      </c>
      <c r="S447" s="10">
        <v>6</v>
      </c>
      <c r="T447" s="10">
        <v>2</v>
      </c>
      <c r="U447" s="10">
        <v>33</v>
      </c>
      <c r="V447" s="10">
        <v>0</v>
      </c>
      <c r="W447" s="10">
        <v>0</v>
      </c>
      <c r="X447" s="10">
        <v>0</v>
      </c>
      <c r="Y447" s="10">
        <v>0</v>
      </c>
      <c r="Z447" s="10">
        <v>0.05</v>
      </c>
      <c r="AA447" s="10">
        <v>0.2</v>
      </c>
      <c r="AB447" s="10">
        <v>0.05</v>
      </c>
      <c r="AC447" s="10"/>
      <c r="AD447" s="5"/>
      <c r="AE447" s="1"/>
    </row>
    <row r="448" spans="1:31" hidden="1" x14ac:dyDescent="0.35">
      <c r="A448" s="15">
        <f t="shared" si="16"/>
        <v>1725</v>
      </c>
      <c r="B448" s="16">
        <v>17</v>
      </c>
      <c r="C448" s="13" t="s">
        <v>861</v>
      </c>
      <c r="D448" s="10">
        <v>8</v>
      </c>
      <c r="E448" s="10">
        <v>8</v>
      </c>
      <c r="F448" s="10">
        <v>708</v>
      </c>
      <c r="G448" s="10">
        <v>7.9</v>
      </c>
      <c r="H448" s="10">
        <v>0</v>
      </c>
      <c r="I448" s="10">
        <v>1</v>
      </c>
      <c r="J448" s="10">
        <v>1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0.3</v>
      </c>
      <c r="Q448" s="10">
        <v>0.3</v>
      </c>
      <c r="R448" s="10">
        <v>0.4</v>
      </c>
      <c r="S448" s="10">
        <v>8</v>
      </c>
      <c r="T448" s="10">
        <v>25</v>
      </c>
      <c r="U448" s="10">
        <v>19</v>
      </c>
      <c r="V448" s="10">
        <v>0</v>
      </c>
      <c r="W448" s="10">
        <v>0.13</v>
      </c>
      <c r="X448" s="10">
        <v>0.13</v>
      </c>
      <c r="Y448" s="10">
        <v>0</v>
      </c>
      <c r="Z448" s="10">
        <v>0.04</v>
      </c>
      <c r="AA448" s="10">
        <v>0.05</v>
      </c>
      <c r="AB448" s="10">
        <v>0.04</v>
      </c>
      <c r="AC448" s="10"/>
      <c r="AD448" s="5"/>
      <c r="AE448" s="1"/>
    </row>
    <row r="449" spans="1:31" hidden="1" x14ac:dyDescent="0.35">
      <c r="A449" s="15">
        <f t="shared" si="16"/>
        <v>1726</v>
      </c>
      <c r="B449" s="16">
        <v>17</v>
      </c>
      <c r="C449" s="13" t="s">
        <v>871</v>
      </c>
      <c r="D449" s="10">
        <v>8</v>
      </c>
      <c r="E449" s="10">
        <v>5</v>
      </c>
      <c r="F449" s="10">
        <v>454</v>
      </c>
      <c r="G449" s="10">
        <v>5</v>
      </c>
      <c r="H449" s="10">
        <v>3</v>
      </c>
      <c r="I449" s="10">
        <v>0</v>
      </c>
      <c r="J449" s="10">
        <v>3</v>
      </c>
      <c r="K449" s="10">
        <v>3</v>
      </c>
      <c r="L449" s="10">
        <v>0</v>
      </c>
      <c r="M449" s="10">
        <v>0</v>
      </c>
      <c r="N449" s="10">
        <v>0</v>
      </c>
      <c r="O449" s="10">
        <v>0</v>
      </c>
      <c r="P449" s="10">
        <v>1.3</v>
      </c>
      <c r="Q449" s="10">
        <v>1.3</v>
      </c>
      <c r="R449" s="10">
        <v>0</v>
      </c>
      <c r="S449" s="10">
        <v>2</v>
      </c>
      <c r="T449" s="10">
        <v>4</v>
      </c>
      <c r="U449" s="10">
        <v>16</v>
      </c>
      <c r="V449" s="10">
        <v>0.59</v>
      </c>
      <c r="W449" s="10">
        <v>0</v>
      </c>
      <c r="X449" s="10">
        <v>0.59</v>
      </c>
      <c r="Y449" s="10">
        <v>0.59</v>
      </c>
      <c r="Z449" s="10">
        <v>0.25</v>
      </c>
      <c r="AA449" s="10">
        <v>0</v>
      </c>
      <c r="AB449" s="10">
        <v>0.25</v>
      </c>
      <c r="AC449" s="10"/>
      <c r="AD449" s="2"/>
      <c r="AE449" s="1"/>
    </row>
    <row r="450" spans="1:31" hidden="1" x14ac:dyDescent="0.35">
      <c r="A450" s="15">
        <v>1801</v>
      </c>
      <c r="B450" s="16">
        <v>18</v>
      </c>
      <c r="C450" s="13" t="s">
        <v>942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/>
      <c r="AD450" s="2"/>
      <c r="AE450" s="1"/>
    </row>
    <row r="451" spans="1:31" hidden="1" x14ac:dyDescent="0.35">
      <c r="A451" s="15">
        <f>A450+1</f>
        <v>1802</v>
      </c>
      <c r="B451" s="16">
        <v>18</v>
      </c>
      <c r="C451" s="13" t="s">
        <v>936</v>
      </c>
      <c r="D451" s="10">
        <v>2</v>
      </c>
      <c r="E451" s="10">
        <v>1</v>
      </c>
      <c r="F451" s="10">
        <v>72</v>
      </c>
      <c r="G451" s="10">
        <v>0.8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2</v>
      </c>
      <c r="T451" s="10">
        <v>7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0.03</v>
      </c>
      <c r="AB451" s="10">
        <v>0</v>
      </c>
      <c r="AC451" s="10"/>
      <c r="AD451" s="2"/>
      <c r="AE451" s="1"/>
    </row>
    <row r="452" spans="1:31" hidden="1" x14ac:dyDescent="0.35">
      <c r="A452" s="15">
        <f t="shared" ref="A452:A474" si="17">A451+1</f>
        <v>1803</v>
      </c>
      <c r="B452" s="16">
        <v>18</v>
      </c>
      <c r="C452" s="13" t="s">
        <v>940</v>
      </c>
      <c r="D452" s="10">
        <v>0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/>
      <c r="AD452" s="2"/>
      <c r="AE452" s="1"/>
    </row>
    <row r="453" spans="1:31" hidden="1" x14ac:dyDescent="0.35">
      <c r="A453" s="15">
        <f t="shared" si="17"/>
        <v>1804</v>
      </c>
      <c r="B453" s="16">
        <v>18</v>
      </c>
      <c r="C453" s="13" t="s">
        <v>928</v>
      </c>
      <c r="D453" s="10">
        <v>8</v>
      </c>
      <c r="E453" s="10">
        <v>3</v>
      </c>
      <c r="F453" s="10">
        <v>274</v>
      </c>
      <c r="G453" s="10">
        <v>3</v>
      </c>
      <c r="H453" s="10">
        <v>2</v>
      </c>
      <c r="I453" s="10">
        <v>0</v>
      </c>
      <c r="J453" s="10">
        <v>2</v>
      </c>
      <c r="K453" s="10">
        <v>2</v>
      </c>
      <c r="L453" s="10">
        <v>0</v>
      </c>
      <c r="M453" s="10">
        <v>0</v>
      </c>
      <c r="N453" s="10">
        <v>1</v>
      </c>
      <c r="O453" s="10">
        <v>0</v>
      </c>
      <c r="P453" s="10">
        <v>1</v>
      </c>
      <c r="Q453" s="10">
        <v>1</v>
      </c>
      <c r="R453" s="10">
        <v>0.2</v>
      </c>
      <c r="S453" s="10">
        <v>8</v>
      </c>
      <c r="T453" s="10">
        <v>6</v>
      </c>
      <c r="U453" s="10">
        <v>19</v>
      </c>
      <c r="V453" s="10">
        <v>0.66</v>
      </c>
      <c r="W453" s="10">
        <v>0</v>
      </c>
      <c r="X453" s="10">
        <v>0.66</v>
      </c>
      <c r="Y453" s="10">
        <v>0.66</v>
      </c>
      <c r="Z453" s="10">
        <v>0.31</v>
      </c>
      <c r="AA453" s="10">
        <v>0.06</v>
      </c>
      <c r="AB453" s="10">
        <v>0.31</v>
      </c>
      <c r="AC453" s="10"/>
      <c r="AD453" s="2"/>
      <c r="AE453" s="1"/>
    </row>
    <row r="454" spans="1:31" hidden="1" x14ac:dyDescent="0.35">
      <c r="A454" s="15">
        <f t="shared" si="17"/>
        <v>1805</v>
      </c>
      <c r="B454" s="16">
        <v>18</v>
      </c>
      <c r="C454" s="13" t="s">
        <v>904</v>
      </c>
      <c r="D454" s="10">
        <v>7</v>
      </c>
      <c r="E454" s="10">
        <v>7</v>
      </c>
      <c r="F454" s="10">
        <v>630</v>
      </c>
      <c r="G454" s="10">
        <v>7</v>
      </c>
      <c r="H454" s="10">
        <v>0</v>
      </c>
      <c r="I454" s="10">
        <v>1</v>
      </c>
      <c r="J454" s="10">
        <v>1</v>
      </c>
      <c r="K454" s="10">
        <v>0</v>
      </c>
      <c r="L454" s="10">
        <v>0</v>
      </c>
      <c r="M454" s="10">
        <v>0</v>
      </c>
      <c r="N454" s="10">
        <v>3</v>
      </c>
      <c r="O454" s="10">
        <v>0</v>
      </c>
      <c r="P454" s="10">
        <v>0.1</v>
      </c>
      <c r="Q454" s="10">
        <v>0.1</v>
      </c>
      <c r="R454" s="10">
        <v>0.2</v>
      </c>
      <c r="S454" s="10">
        <v>2</v>
      </c>
      <c r="T454" s="10">
        <v>32</v>
      </c>
      <c r="U454" s="10">
        <v>0</v>
      </c>
      <c r="V454" s="10">
        <v>0</v>
      </c>
      <c r="W454" s="10">
        <v>0.14000000000000001</v>
      </c>
      <c r="X454" s="10">
        <v>0.14000000000000001</v>
      </c>
      <c r="Y454" s="10">
        <v>0</v>
      </c>
      <c r="Z454" s="10">
        <v>0.01</v>
      </c>
      <c r="AA454" s="10">
        <v>0.02</v>
      </c>
      <c r="AB454" s="10">
        <v>0.01</v>
      </c>
      <c r="AC454" s="10"/>
      <c r="AD454" s="2"/>
      <c r="AE454" s="1"/>
    </row>
    <row r="455" spans="1:31" hidden="1" x14ac:dyDescent="0.35">
      <c r="A455" s="15">
        <f t="shared" si="17"/>
        <v>1806</v>
      </c>
      <c r="B455" s="16">
        <v>18</v>
      </c>
      <c r="C455" s="13" t="s">
        <v>946</v>
      </c>
      <c r="D455" s="10">
        <v>0</v>
      </c>
      <c r="E455" s="10">
        <v>0</v>
      </c>
      <c r="F455" s="10">
        <v>0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/>
      <c r="AD455" s="2"/>
      <c r="AE455" s="1"/>
    </row>
    <row r="456" spans="1:31" hidden="1" x14ac:dyDescent="0.35">
      <c r="A456" s="15">
        <f t="shared" si="17"/>
        <v>1807</v>
      </c>
      <c r="B456" s="16">
        <v>18</v>
      </c>
      <c r="C456" s="13" t="s">
        <v>926</v>
      </c>
      <c r="D456" s="10">
        <v>5</v>
      </c>
      <c r="E456" s="10">
        <v>3</v>
      </c>
      <c r="F456" s="10">
        <v>303</v>
      </c>
      <c r="G456" s="10">
        <v>3.4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0.2</v>
      </c>
      <c r="S456" s="10">
        <v>15</v>
      </c>
      <c r="T456" s="10">
        <v>21</v>
      </c>
      <c r="U456" s="10">
        <v>29</v>
      </c>
      <c r="V456" s="10">
        <v>0</v>
      </c>
      <c r="W456" s="10">
        <v>0</v>
      </c>
      <c r="X456" s="10">
        <v>0</v>
      </c>
      <c r="Y456" s="10">
        <v>0</v>
      </c>
      <c r="Z456" s="10">
        <v>0.01</v>
      </c>
      <c r="AA456" s="10">
        <v>7.0000000000000007E-2</v>
      </c>
      <c r="AB456" s="10">
        <v>0.01</v>
      </c>
      <c r="AC456" s="10"/>
      <c r="AD456" s="2"/>
      <c r="AE456" s="1"/>
    </row>
    <row r="457" spans="1:31" hidden="1" x14ac:dyDescent="0.35">
      <c r="A457" s="15">
        <f t="shared" si="17"/>
        <v>1808</v>
      </c>
      <c r="B457" s="16">
        <v>18</v>
      </c>
      <c r="C457" s="13" t="s">
        <v>920</v>
      </c>
      <c r="D457" s="10">
        <v>7</v>
      </c>
      <c r="E457" s="10">
        <v>6</v>
      </c>
      <c r="F457" s="10">
        <v>488</v>
      </c>
      <c r="G457" s="10">
        <v>5.4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2</v>
      </c>
      <c r="O457" s="10">
        <v>0</v>
      </c>
      <c r="P457" s="10">
        <v>0.2</v>
      </c>
      <c r="Q457" s="10">
        <v>0.2</v>
      </c>
      <c r="R457" s="10">
        <v>0.1</v>
      </c>
      <c r="S457" s="10">
        <v>21</v>
      </c>
      <c r="T457" s="10">
        <v>29</v>
      </c>
      <c r="U457" s="10">
        <v>30</v>
      </c>
      <c r="V457" s="10">
        <v>0</v>
      </c>
      <c r="W457" s="10">
        <v>0</v>
      </c>
      <c r="X457" s="10">
        <v>0</v>
      </c>
      <c r="Y457" s="10">
        <v>0</v>
      </c>
      <c r="Z457" s="10">
        <v>0.03</v>
      </c>
      <c r="AA457" s="10">
        <v>0.01</v>
      </c>
      <c r="AB457" s="10">
        <v>0.03</v>
      </c>
      <c r="AC457" s="10"/>
      <c r="AD457" s="2"/>
      <c r="AE457" s="1"/>
    </row>
    <row r="458" spans="1:31" hidden="1" x14ac:dyDescent="0.35">
      <c r="A458" s="15">
        <f t="shared" si="17"/>
        <v>1809</v>
      </c>
      <c r="B458" s="16">
        <v>18</v>
      </c>
      <c r="C458" s="13" t="s">
        <v>937</v>
      </c>
      <c r="D458" s="10">
        <v>2</v>
      </c>
      <c r="E458" s="10">
        <v>0</v>
      </c>
      <c r="F458" s="10">
        <v>33</v>
      </c>
      <c r="G458" s="10">
        <v>0.4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0.2</v>
      </c>
      <c r="Q458" s="10">
        <v>0.2</v>
      </c>
      <c r="R458" s="10">
        <v>0</v>
      </c>
      <c r="S458" s="10">
        <v>0</v>
      </c>
      <c r="T458" s="10">
        <v>0</v>
      </c>
      <c r="U458" s="10">
        <v>2</v>
      </c>
      <c r="V458" s="10">
        <v>0</v>
      </c>
      <c r="W458" s="10">
        <v>0</v>
      </c>
      <c r="X458" s="10">
        <v>0</v>
      </c>
      <c r="Y458" s="10">
        <v>0</v>
      </c>
      <c r="Z458" s="10">
        <v>0.56999999999999995</v>
      </c>
      <c r="AA458" s="10">
        <v>0</v>
      </c>
      <c r="AB458" s="10">
        <v>0.56999999999999995</v>
      </c>
      <c r="AC458" s="10"/>
      <c r="AD458" s="2"/>
      <c r="AE458" s="1"/>
    </row>
    <row r="459" spans="1:31" hidden="1" x14ac:dyDescent="0.35">
      <c r="A459" s="15">
        <f t="shared" si="17"/>
        <v>1810</v>
      </c>
      <c r="B459" s="16">
        <v>18</v>
      </c>
      <c r="C459" s="13" t="s">
        <v>906</v>
      </c>
      <c r="D459" s="10">
        <v>8</v>
      </c>
      <c r="E459" s="10">
        <v>8</v>
      </c>
      <c r="F459" s="10">
        <v>720</v>
      </c>
      <c r="G459" s="10">
        <v>8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/>
      <c r="AD459" s="2"/>
      <c r="AE459" s="1"/>
    </row>
    <row r="460" spans="1:31" hidden="1" x14ac:dyDescent="0.35">
      <c r="A460" s="15">
        <f t="shared" si="17"/>
        <v>1811</v>
      </c>
      <c r="B460" s="16">
        <v>18</v>
      </c>
      <c r="C460" s="13" t="s">
        <v>914</v>
      </c>
      <c r="D460" s="10">
        <v>8</v>
      </c>
      <c r="E460" s="10">
        <v>7</v>
      </c>
      <c r="F460" s="10">
        <v>603</v>
      </c>
      <c r="G460" s="10">
        <v>6.7</v>
      </c>
      <c r="H460" s="10">
        <v>2</v>
      </c>
      <c r="I460" s="10">
        <v>1</v>
      </c>
      <c r="J460" s="10">
        <v>3</v>
      </c>
      <c r="K460" s="10">
        <v>2</v>
      </c>
      <c r="L460" s="10">
        <v>0</v>
      </c>
      <c r="M460" s="10">
        <v>0</v>
      </c>
      <c r="N460" s="10">
        <v>2</v>
      </c>
      <c r="O460" s="10">
        <v>0</v>
      </c>
      <c r="P460" s="10">
        <v>0.6</v>
      </c>
      <c r="Q460" s="10">
        <v>0.6</v>
      </c>
      <c r="R460" s="10">
        <v>0.1</v>
      </c>
      <c r="S460" s="10">
        <v>2</v>
      </c>
      <c r="T460" s="10">
        <v>19</v>
      </c>
      <c r="U460" s="10">
        <v>6</v>
      </c>
      <c r="V460" s="10">
        <v>0.3</v>
      </c>
      <c r="W460" s="10">
        <v>0.15</v>
      </c>
      <c r="X460" s="10">
        <v>0.45</v>
      </c>
      <c r="Y460" s="10">
        <v>0.3</v>
      </c>
      <c r="Z460" s="10">
        <v>0.09</v>
      </c>
      <c r="AA460" s="10">
        <v>0.02</v>
      </c>
      <c r="AB460" s="10">
        <v>0.09</v>
      </c>
      <c r="AC460" s="10"/>
      <c r="AD460" s="2"/>
      <c r="AE460" s="1"/>
    </row>
    <row r="461" spans="1:31" hidden="1" x14ac:dyDescent="0.35">
      <c r="A461" s="15">
        <f t="shared" si="17"/>
        <v>1812</v>
      </c>
      <c r="B461" s="16">
        <v>18</v>
      </c>
      <c r="C461" s="13" t="s">
        <v>939</v>
      </c>
      <c r="D461" s="10">
        <v>0</v>
      </c>
      <c r="E461" s="10">
        <v>0</v>
      </c>
      <c r="F461" s="10">
        <v>0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/>
      <c r="AD461" s="2"/>
      <c r="AE461" s="1"/>
    </row>
    <row r="462" spans="1:31" hidden="1" x14ac:dyDescent="0.35">
      <c r="A462" s="15">
        <f t="shared" si="17"/>
        <v>1813</v>
      </c>
      <c r="B462" s="16">
        <v>18</v>
      </c>
      <c r="C462" s="13" t="s">
        <v>924</v>
      </c>
      <c r="D462" s="10">
        <v>4</v>
      </c>
      <c r="E462" s="10">
        <v>1</v>
      </c>
      <c r="F462" s="10">
        <v>108</v>
      </c>
      <c r="G462" s="10">
        <v>1.2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1</v>
      </c>
      <c r="O462" s="10">
        <v>0</v>
      </c>
      <c r="P462" s="10">
        <v>0</v>
      </c>
      <c r="Q462" s="10">
        <v>0</v>
      </c>
      <c r="R462" s="10">
        <v>0</v>
      </c>
      <c r="S462" s="10">
        <v>1</v>
      </c>
      <c r="T462" s="10">
        <v>6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/>
      <c r="AD462" s="2"/>
      <c r="AE462" s="1"/>
    </row>
    <row r="463" spans="1:31" hidden="1" x14ac:dyDescent="0.35">
      <c r="A463" s="15">
        <f t="shared" si="17"/>
        <v>1814</v>
      </c>
      <c r="B463" s="16">
        <v>18</v>
      </c>
      <c r="C463" s="13" t="s">
        <v>950</v>
      </c>
      <c r="D463" s="10">
        <v>7</v>
      </c>
      <c r="E463" s="10">
        <v>4</v>
      </c>
      <c r="F463" s="10">
        <v>377</v>
      </c>
      <c r="G463" s="10">
        <v>4.2</v>
      </c>
      <c r="H463" s="10">
        <v>1</v>
      </c>
      <c r="I463" s="10">
        <v>1</v>
      </c>
      <c r="J463" s="10">
        <v>2</v>
      </c>
      <c r="K463" s="10">
        <v>1</v>
      </c>
      <c r="L463" s="10">
        <v>0</v>
      </c>
      <c r="M463" s="10">
        <v>0</v>
      </c>
      <c r="N463" s="10">
        <v>1</v>
      </c>
      <c r="O463" s="10">
        <v>0</v>
      </c>
      <c r="P463" s="10">
        <v>0.6</v>
      </c>
      <c r="Q463" s="10">
        <v>0.6</v>
      </c>
      <c r="R463" s="10">
        <v>0.3</v>
      </c>
      <c r="S463" s="10">
        <v>9</v>
      </c>
      <c r="T463" s="10">
        <v>18</v>
      </c>
      <c r="U463" s="10">
        <v>23</v>
      </c>
      <c r="V463" s="10">
        <v>0.24</v>
      </c>
      <c r="W463" s="10">
        <v>0.24</v>
      </c>
      <c r="X463" s="10">
        <v>0.48</v>
      </c>
      <c r="Y463" s="10">
        <v>0.24</v>
      </c>
      <c r="Z463" s="10">
        <v>0.13</v>
      </c>
      <c r="AA463" s="10">
        <v>0.06</v>
      </c>
      <c r="AB463" s="10">
        <v>0.13</v>
      </c>
      <c r="AC463" s="10"/>
      <c r="AD463" s="2"/>
      <c r="AE463" s="1"/>
    </row>
    <row r="464" spans="1:31" hidden="1" x14ac:dyDescent="0.35">
      <c r="A464" s="15">
        <f t="shared" si="17"/>
        <v>1815</v>
      </c>
      <c r="B464" s="16">
        <v>18</v>
      </c>
      <c r="C464" s="13" t="s">
        <v>948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/>
      <c r="AD464" s="2"/>
      <c r="AE464" s="1"/>
    </row>
    <row r="465" spans="1:31" hidden="1" x14ac:dyDescent="0.35">
      <c r="A465" s="15">
        <f t="shared" si="17"/>
        <v>1816</v>
      </c>
      <c r="B465" s="16">
        <v>18</v>
      </c>
      <c r="C465" s="13" t="s">
        <v>934</v>
      </c>
      <c r="D465" s="10">
        <v>0</v>
      </c>
      <c r="E465" s="10">
        <v>0</v>
      </c>
      <c r="F465" s="10">
        <v>0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/>
      <c r="AD465" s="2"/>
      <c r="AE465" s="1"/>
    </row>
    <row r="466" spans="1:31" hidden="1" x14ac:dyDescent="0.35">
      <c r="A466" s="15">
        <f t="shared" si="17"/>
        <v>1817</v>
      </c>
      <c r="B466" s="16">
        <v>18</v>
      </c>
      <c r="C466" s="13" t="s">
        <v>908</v>
      </c>
      <c r="D466" s="10">
        <v>6</v>
      </c>
      <c r="E466" s="10">
        <v>3</v>
      </c>
      <c r="F466" s="10">
        <v>238</v>
      </c>
      <c r="G466" s="10">
        <v>2.6</v>
      </c>
      <c r="H466" s="10">
        <v>1</v>
      </c>
      <c r="I466" s="10">
        <v>0</v>
      </c>
      <c r="J466" s="10">
        <v>1</v>
      </c>
      <c r="K466" s="10">
        <v>1</v>
      </c>
      <c r="L466" s="10">
        <v>0</v>
      </c>
      <c r="M466" s="10">
        <v>0</v>
      </c>
      <c r="N466" s="10">
        <v>0</v>
      </c>
      <c r="O466" s="10">
        <v>0</v>
      </c>
      <c r="P466" s="10">
        <v>0.2</v>
      </c>
      <c r="Q466" s="10">
        <v>0.2</v>
      </c>
      <c r="R466" s="10">
        <v>0</v>
      </c>
      <c r="S466" s="10">
        <v>4</v>
      </c>
      <c r="T466" s="10">
        <v>3</v>
      </c>
      <c r="U466" s="10">
        <v>14</v>
      </c>
      <c r="V466" s="10">
        <v>0.38</v>
      </c>
      <c r="W466" s="10">
        <v>0</v>
      </c>
      <c r="X466" s="10">
        <v>0.38</v>
      </c>
      <c r="Y466" s="10">
        <v>0.38</v>
      </c>
      <c r="Z466" s="10">
        <v>0.08</v>
      </c>
      <c r="AA466" s="10">
        <v>0</v>
      </c>
      <c r="AB466" s="10">
        <v>0.08</v>
      </c>
      <c r="AC466" s="10"/>
      <c r="AD466" s="2"/>
      <c r="AE466" s="1"/>
    </row>
    <row r="467" spans="1:31" hidden="1" x14ac:dyDescent="0.35">
      <c r="A467" s="15">
        <f t="shared" si="17"/>
        <v>1818</v>
      </c>
      <c r="B467" s="16">
        <v>18</v>
      </c>
      <c r="C467" s="13" t="s">
        <v>910</v>
      </c>
      <c r="D467" s="10">
        <v>8</v>
      </c>
      <c r="E467" s="10">
        <v>8</v>
      </c>
      <c r="F467" s="10">
        <v>709</v>
      </c>
      <c r="G467" s="10">
        <v>7.9</v>
      </c>
      <c r="H467" s="10">
        <v>1</v>
      </c>
      <c r="I467" s="10">
        <v>0</v>
      </c>
      <c r="J467" s="10">
        <v>1</v>
      </c>
      <c r="K467" s="10">
        <v>1</v>
      </c>
      <c r="L467" s="10">
        <v>0</v>
      </c>
      <c r="M467" s="10">
        <v>0</v>
      </c>
      <c r="N467" s="10">
        <v>2</v>
      </c>
      <c r="O467" s="10">
        <v>0</v>
      </c>
      <c r="P467" s="10">
        <v>0.8</v>
      </c>
      <c r="Q467" s="10">
        <v>0.8</v>
      </c>
      <c r="R467" s="10">
        <v>0.1</v>
      </c>
      <c r="S467" s="10">
        <v>5</v>
      </c>
      <c r="T467" s="10">
        <v>23</v>
      </c>
      <c r="U467" s="10">
        <v>2</v>
      </c>
      <c r="V467" s="10">
        <v>0.13</v>
      </c>
      <c r="W467" s="10">
        <v>0</v>
      </c>
      <c r="X467" s="10">
        <v>0.13</v>
      </c>
      <c r="Y467" s="10">
        <v>0.13</v>
      </c>
      <c r="Z467" s="10">
        <v>0.1</v>
      </c>
      <c r="AA467" s="10">
        <v>0.01</v>
      </c>
      <c r="AB467" s="10">
        <v>0.1</v>
      </c>
      <c r="AC467" s="10"/>
      <c r="AD467" s="2"/>
      <c r="AE467" s="1"/>
    </row>
    <row r="468" spans="1:31" hidden="1" x14ac:dyDescent="0.35">
      <c r="A468" s="15">
        <f t="shared" si="17"/>
        <v>1819</v>
      </c>
      <c r="B468" s="16">
        <v>18</v>
      </c>
      <c r="C468" s="13" t="s">
        <v>922</v>
      </c>
      <c r="D468" s="10">
        <v>8</v>
      </c>
      <c r="E468" s="10">
        <v>8</v>
      </c>
      <c r="F468" s="10">
        <v>708</v>
      </c>
      <c r="G468" s="10">
        <v>7.9</v>
      </c>
      <c r="H468" s="10">
        <v>1</v>
      </c>
      <c r="I468" s="10">
        <v>4</v>
      </c>
      <c r="J468" s="10">
        <v>5</v>
      </c>
      <c r="K468" s="10">
        <v>1</v>
      </c>
      <c r="L468" s="10">
        <v>0</v>
      </c>
      <c r="M468" s="10">
        <v>0</v>
      </c>
      <c r="N468" s="10">
        <v>2</v>
      </c>
      <c r="O468" s="10">
        <v>0</v>
      </c>
      <c r="P468" s="10">
        <v>1.3</v>
      </c>
      <c r="Q468" s="10">
        <v>1.3</v>
      </c>
      <c r="R468" s="10">
        <v>2</v>
      </c>
      <c r="S468" s="10">
        <v>26</v>
      </c>
      <c r="T468" s="10">
        <v>17</v>
      </c>
      <c r="U468" s="10">
        <v>70</v>
      </c>
      <c r="V468" s="10">
        <v>0.13</v>
      </c>
      <c r="W468" s="10">
        <v>0.51</v>
      </c>
      <c r="X468" s="10">
        <v>0.64</v>
      </c>
      <c r="Y468" s="10">
        <v>0.13</v>
      </c>
      <c r="Z468" s="10">
        <v>0.16</v>
      </c>
      <c r="AA468" s="10">
        <v>0.25</v>
      </c>
      <c r="AB468" s="10">
        <v>0.16</v>
      </c>
      <c r="AC468" s="10"/>
      <c r="AD468" s="2"/>
      <c r="AE468" s="1"/>
    </row>
    <row r="469" spans="1:31" hidden="1" x14ac:dyDescent="0.35">
      <c r="A469" s="15">
        <f t="shared" si="17"/>
        <v>1820</v>
      </c>
      <c r="B469" s="16">
        <v>18</v>
      </c>
      <c r="C469" s="13" t="s">
        <v>912</v>
      </c>
      <c r="D469" s="10">
        <v>7</v>
      </c>
      <c r="E469" s="10">
        <v>4</v>
      </c>
      <c r="F469" s="10">
        <v>380</v>
      </c>
      <c r="G469" s="10">
        <v>4.2</v>
      </c>
      <c r="H469" s="10">
        <v>1</v>
      </c>
      <c r="I469" s="10">
        <v>2</v>
      </c>
      <c r="J469" s="10">
        <v>3</v>
      </c>
      <c r="K469" s="10">
        <v>1</v>
      </c>
      <c r="L469" s="10">
        <v>0</v>
      </c>
      <c r="M469" s="10">
        <v>0</v>
      </c>
      <c r="N469" s="10">
        <v>0</v>
      </c>
      <c r="O469" s="10">
        <v>0</v>
      </c>
      <c r="P469" s="10">
        <v>0.3</v>
      </c>
      <c r="Q469" s="10">
        <v>0.3</v>
      </c>
      <c r="R469" s="10">
        <v>0.5</v>
      </c>
      <c r="S469" s="10">
        <v>4</v>
      </c>
      <c r="T469" s="10">
        <v>12</v>
      </c>
      <c r="U469" s="10">
        <v>15</v>
      </c>
      <c r="V469" s="10">
        <v>0.24</v>
      </c>
      <c r="W469" s="10">
        <v>0.47</v>
      </c>
      <c r="X469" s="10">
        <v>0.71</v>
      </c>
      <c r="Y469" s="10">
        <v>0.24</v>
      </c>
      <c r="Z469" s="10">
        <v>7.0000000000000007E-2</v>
      </c>
      <c r="AA469" s="10">
        <v>0.12</v>
      </c>
      <c r="AB469" s="10">
        <v>7.0000000000000007E-2</v>
      </c>
      <c r="AC469" s="10"/>
      <c r="AD469" s="5"/>
      <c r="AE469" s="1"/>
    </row>
    <row r="470" spans="1:31" hidden="1" x14ac:dyDescent="0.35">
      <c r="A470" s="15">
        <f t="shared" si="17"/>
        <v>1821</v>
      </c>
      <c r="B470" s="16">
        <v>18</v>
      </c>
      <c r="C470" s="13" t="s">
        <v>944</v>
      </c>
      <c r="D470" s="10">
        <v>8</v>
      </c>
      <c r="E470" s="10">
        <v>7</v>
      </c>
      <c r="F470" s="10">
        <v>637</v>
      </c>
      <c r="G470" s="10">
        <v>7.1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1</v>
      </c>
      <c r="O470" s="10">
        <v>0</v>
      </c>
      <c r="P470" s="10">
        <v>0.1</v>
      </c>
      <c r="Q470" s="10">
        <v>0.1</v>
      </c>
      <c r="R470" s="10">
        <v>0.8</v>
      </c>
      <c r="S470" s="10">
        <v>16</v>
      </c>
      <c r="T470" s="10">
        <v>39</v>
      </c>
      <c r="U470" s="10">
        <v>18</v>
      </c>
      <c r="V470" s="10">
        <v>0</v>
      </c>
      <c r="W470" s="10">
        <v>0</v>
      </c>
      <c r="X470" s="10">
        <v>0</v>
      </c>
      <c r="Y470" s="10">
        <v>0</v>
      </c>
      <c r="Z470" s="10">
        <v>0.02</v>
      </c>
      <c r="AA470" s="10">
        <v>0.11</v>
      </c>
      <c r="AB470" s="10">
        <v>0.02</v>
      </c>
      <c r="AC470" s="10"/>
      <c r="AD470" s="5"/>
      <c r="AE470" s="1"/>
    </row>
    <row r="471" spans="1:31" hidden="1" x14ac:dyDescent="0.35">
      <c r="A471" s="15">
        <f t="shared" si="17"/>
        <v>1822</v>
      </c>
      <c r="B471" s="16">
        <v>18</v>
      </c>
      <c r="C471" s="13" t="s">
        <v>916</v>
      </c>
      <c r="D471" s="10">
        <v>1</v>
      </c>
      <c r="E471" s="10">
        <v>0</v>
      </c>
      <c r="F471" s="10">
        <v>12</v>
      </c>
      <c r="G471" s="10">
        <v>0.1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0.1</v>
      </c>
      <c r="Q471" s="10">
        <v>0.1</v>
      </c>
      <c r="R471" s="10">
        <v>0</v>
      </c>
      <c r="S471" s="10">
        <v>0</v>
      </c>
      <c r="T471" s="10">
        <v>0</v>
      </c>
      <c r="U471" s="10">
        <v>1</v>
      </c>
      <c r="V471" s="10">
        <v>0</v>
      </c>
      <c r="W471" s="10">
        <v>0</v>
      </c>
      <c r="X471" s="10">
        <v>0</v>
      </c>
      <c r="Y471" s="10">
        <v>0</v>
      </c>
      <c r="Z471" s="10">
        <v>1</v>
      </c>
      <c r="AA471" s="10">
        <v>0</v>
      </c>
      <c r="AB471" s="10">
        <v>1</v>
      </c>
      <c r="AC471" s="10"/>
      <c r="AD471" s="5"/>
      <c r="AE471" s="1"/>
    </row>
    <row r="472" spans="1:31" hidden="1" x14ac:dyDescent="0.35">
      <c r="A472" s="15">
        <f t="shared" si="17"/>
        <v>1823</v>
      </c>
      <c r="B472" s="16">
        <v>18</v>
      </c>
      <c r="C472" s="13" t="s">
        <v>918</v>
      </c>
      <c r="D472" s="10">
        <v>8</v>
      </c>
      <c r="E472" s="10">
        <v>5</v>
      </c>
      <c r="F472" s="10">
        <v>485</v>
      </c>
      <c r="G472" s="10">
        <v>5.4</v>
      </c>
      <c r="H472" s="10">
        <v>3</v>
      </c>
      <c r="I472" s="10">
        <v>1</v>
      </c>
      <c r="J472" s="10">
        <v>4</v>
      </c>
      <c r="K472" s="10">
        <v>3</v>
      </c>
      <c r="L472" s="10">
        <v>0</v>
      </c>
      <c r="M472" s="10">
        <v>0</v>
      </c>
      <c r="N472" s="10">
        <v>1</v>
      </c>
      <c r="O472" s="10">
        <v>0</v>
      </c>
      <c r="P472" s="10">
        <v>1.6</v>
      </c>
      <c r="Q472" s="10">
        <v>1.6</v>
      </c>
      <c r="R472" s="10">
        <v>0.9</v>
      </c>
      <c r="S472" s="10">
        <v>7</v>
      </c>
      <c r="T472" s="10">
        <v>9</v>
      </c>
      <c r="U472" s="10">
        <v>18</v>
      </c>
      <c r="V472" s="10">
        <v>0.56000000000000005</v>
      </c>
      <c r="W472" s="10">
        <v>0.19</v>
      </c>
      <c r="X472" s="10">
        <v>0.74</v>
      </c>
      <c r="Y472" s="10">
        <v>0.56000000000000005</v>
      </c>
      <c r="Z472" s="10">
        <v>0.3</v>
      </c>
      <c r="AA472" s="10">
        <v>0.17</v>
      </c>
      <c r="AB472" s="10">
        <v>0.3</v>
      </c>
      <c r="AC472" s="10"/>
      <c r="AD472" s="5"/>
      <c r="AE472" s="1"/>
    </row>
    <row r="473" spans="1:31" hidden="1" x14ac:dyDescent="0.35">
      <c r="A473" s="15">
        <f t="shared" si="17"/>
        <v>1824</v>
      </c>
      <c r="B473" s="16">
        <v>18</v>
      </c>
      <c r="C473" s="13" t="s">
        <v>932</v>
      </c>
      <c r="D473" s="10">
        <v>7</v>
      </c>
      <c r="E473" s="10">
        <v>6</v>
      </c>
      <c r="F473" s="10">
        <v>496</v>
      </c>
      <c r="G473" s="10">
        <v>5.5</v>
      </c>
      <c r="H473" s="10">
        <v>1</v>
      </c>
      <c r="I473" s="10">
        <v>0</v>
      </c>
      <c r="J473" s="10">
        <v>1</v>
      </c>
      <c r="K473" s="10">
        <v>1</v>
      </c>
      <c r="L473" s="10">
        <v>0</v>
      </c>
      <c r="M473" s="10">
        <v>0</v>
      </c>
      <c r="N473" s="10">
        <v>0</v>
      </c>
      <c r="O473" s="10">
        <v>0</v>
      </c>
      <c r="P473" s="10">
        <v>0.2</v>
      </c>
      <c r="Q473" s="10">
        <v>0.2</v>
      </c>
      <c r="R473" s="10">
        <v>0.2</v>
      </c>
      <c r="S473" s="10">
        <v>3</v>
      </c>
      <c r="T473" s="10">
        <v>23</v>
      </c>
      <c r="U473" s="10">
        <v>9</v>
      </c>
      <c r="V473" s="10">
        <v>0.18</v>
      </c>
      <c r="W473" s="10">
        <v>0</v>
      </c>
      <c r="X473" s="10">
        <v>0.18</v>
      </c>
      <c r="Y473" s="10">
        <v>0.18</v>
      </c>
      <c r="Z473" s="10">
        <v>0.03</v>
      </c>
      <c r="AA473" s="10">
        <v>0.04</v>
      </c>
      <c r="AB473" s="10">
        <v>0.03</v>
      </c>
      <c r="AC473" s="10"/>
      <c r="AD473" s="5"/>
      <c r="AE473" s="1"/>
    </row>
    <row r="474" spans="1:31" hidden="1" x14ac:dyDescent="0.35">
      <c r="A474" s="15">
        <f t="shared" si="17"/>
        <v>1825</v>
      </c>
      <c r="B474" s="16">
        <v>18</v>
      </c>
      <c r="C474" s="13" t="s">
        <v>930</v>
      </c>
      <c r="D474" s="10">
        <v>8</v>
      </c>
      <c r="E474" s="10">
        <v>3</v>
      </c>
      <c r="F474" s="10">
        <v>319</v>
      </c>
      <c r="G474" s="10">
        <v>3.5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0.7</v>
      </c>
      <c r="Q474" s="10">
        <v>0.7</v>
      </c>
      <c r="R474" s="10">
        <v>0.3</v>
      </c>
      <c r="S474" s="10">
        <v>14</v>
      </c>
      <c r="T474" s="10">
        <v>17</v>
      </c>
      <c r="U474" s="10">
        <v>28</v>
      </c>
      <c r="V474" s="10">
        <v>0</v>
      </c>
      <c r="W474" s="10">
        <v>0</v>
      </c>
      <c r="X474" s="10">
        <v>0</v>
      </c>
      <c r="Y474" s="10">
        <v>0</v>
      </c>
      <c r="Z474" s="10">
        <v>0.21</v>
      </c>
      <c r="AA474" s="10">
        <v>0.1</v>
      </c>
      <c r="AB474" s="10">
        <v>0.21</v>
      </c>
      <c r="AC474" s="10"/>
      <c r="AD474" s="2"/>
      <c r="AE474" s="1"/>
    </row>
    <row r="475" spans="1:31" hidden="1" x14ac:dyDescent="0.35">
      <c r="A475" s="15">
        <v>1901</v>
      </c>
      <c r="B475" s="16">
        <v>19</v>
      </c>
      <c r="C475" s="13" t="s">
        <v>975</v>
      </c>
      <c r="D475" s="10">
        <v>4</v>
      </c>
      <c r="E475" s="10">
        <v>3</v>
      </c>
      <c r="F475" s="10">
        <v>303</v>
      </c>
      <c r="G475" s="10">
        <v>3.4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0.1</v>
      </c>
      <c r="S475" s="10">
        <v>6</v>
      </c>
      <c r="T475" s="10">
        <v>9</v>
      </c>
      <c r="U475" s="10">
        <v>20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0.03</v>
      </c>
      <c r="AB475" s="10">
        <v>0</v>
      </c>
      <c r="AC475" s="10"/>
      <c r="AD475" s="2"/>
      <c r="AE475" s="1"/>
    </row>
    <row r="476" spans="1:31" hidden="1" x14ac:dyDescent="0.35">
      <c r="A476" s="15">
        <f>A475+1</f>
        <v>1902</v>
      </c>
      <c r="B476" s="16">
        <v>19</v>
      </c>
      <c r="C476" s="13" t="s">
        <v>973</v>
      </c>
      <c r="D476" s="10">
        <v>4</v>
      </c>
      <c r="E476" s="10">
        <v>4</v>
      </c>
      <c r="F476" s="10">
        <v>360</v>
      </c>
      <c r="G476" s="10">
        <v>4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/>
      <c r="AD476" s="2"/>
      <c r="AE476" s="1"/>
    </row>
    <row r="477" spans="1:31" hidden="1" x14ac:dyDescent="0.35">
      <c r="A477" s="15">
        <f t="shared" ref="A477:A501" si="18">A476+1</f>
        <v>1903</v>
      </c>
      <c r="B477" s="16">
        <v>19</v>
      </c>
      <c r="C477" s="13" t="s">
        <v>994</v>
      </c>
      <c r="D477" s="10">
        <v>5</v>
      </c>
      <c r="E477" s="10">
        <v>1</v>
      </c>
      <c r="F477" s="10">
        <v>87</v>
      </c>
      <c r="G477" s="10">
        <v>1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0.1</v>
      </c>
      <c r="S477" s="10">
        <v>1</v>
      </c>
      <c r="T477" s="10">
        <v>8</v>
      </c>
      <c r="U477" s="10">
        <v>1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0.13</v>
      </c>
      <c r="AB477" s="10">
        <v>0</v>
      </c>
      <c r="AC477" s="10"/>
      <c r="AD477" s="2"/>
      <c r="AE477" s="1"/>
    </row>
    <row r="478" spans="1:31" hidden="1" x14ac:dyDescent="0.35">
      <c r="A478" s="15">
        <f t="shared" si="18"/>
        <v>1904</v>
      </c>
      <c r="B478" s="16">
        <v>19</v>
      </c>
      <c r="C478" s="13" t="s">
        <v>993</v>
      </c>
      <c r="D478" s="10">
        <v>2</v>
      </c>
      <c r="E478" s="10">
        <v>0</v>
      </c>
      <c r="F478" s="10">
        <v>60</v>
      </c>
      <c r="G478" s="10">
        <v>0.7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0.1</v>
      </c>
      <c r="Q478" s="10">
        <v>0.1</v>
      </c>
      <c r="R478" s="10">
        <v>0</v>
      </c>
      <c r="S478" s="10">
        <v>0</v>
      </c>
      <c r="T478" s="10">
        <v>1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0.19</v>
      </c>
      <c r="AA478" s="10">
        <v>0</v>
      </c>
      <c r="AB478" s="10">
        <v>0.19</v>
      </c>
      <c r="AC478" s="10"/>
      <c r="AD478" s="2"/>
      <c r="AE478" s="1"/>
    </row>
    <row r="479" spans="1:31" hidden="1" x14ac:dyDescent="0.35">
      <c r="A479" s="15">
        <f t="shared" si="18"/>
        <v>1905</v>
      </c>
      <c r="B479" s="16">
        <v>19</v>
      </c>
      <c r="C479" s="13" t="s">
        <v>985</v>
      </c>
      <c r="D479" s="10">
        <v>5</v>
      </c>
      <c r="E479" s="10">
        <v>1</v>
      </c>
      <c r="F479" s="10">
        <v>173</v>
      </c>
      <c r="G479" s="10">
        <v>1.9</v>
      </c>
      <c r="H479" s="10">
        <v>1</v>
      </c>
      <c r="I479" s="10">
        <v>0</v>
      </c>
      <c r="J479" s="10">
        <v>1</v>
      </c>
      <c r="K479" s="10">
        <v>1</v>
      </c>
      <c r="L479" s="10">
        <v>0</v>
      </c>
      <c r="M479" s="10">
        <v>0</v>
      </c>
      <c r="N479" s="10">
        <v>0</v>
      </c>
      <c r="O479" s="10">
        <v>0</v>
      </c>
      <c r="P479" s="10">
        <v>1.1000000000000001</v>
      </c>
      <c r="Q479" s="10">
        <v>1.1000000000000001</v>
      </c>
      <c r="R479" s="10">
        <v>0</v>
      </c>
      <c r="S479" s="10">
        <v>2</v>
      </c>
      <c r="T479" s="10">
        <v>1</v>
      </c>
      <c r="U479" s="10">
        <v>9</v>
      </c>
      <c r="V479" s="10">
        <v>0.52</v>
      </c>
      <c r="W479" s="10">
        <v>0</v>
      </c>
      <c r="X479" s="10">
        <v>0.52</v>
      </c>
      <c r="Y479" s="10">
        <v>0.52</v>
      </c>
      <c r="Z479" s="10">
        <v>0.56999999999999995</v>
      </c>
      <c r="AA479" s="10">
        <v>0.02</v>
      </c>
      <c r="AB479" s="10">
        <v>0.56999999999999995</v>
      </c>
      <c r="AC479" s="10"/>
      <c r="AD479" s="2"/>
      <c r="AE479" s="1"/>
    </row>
    <row r="480" spans="1:31" hidden="1" x14ac:dyDescent="0.35">
      <c r="A480" s="15">
        <f t="shared" si="18"/>
        <v>1906</v>
      </c>
      <c r="B480" s="16">
        <v>19</v>
      </c>
      <c r="C480" s="13" t="s">
        <v>971</v>
      </c>
      <c r="D480" s="10">
        <v>6</v>
      </c>
      <c r="E480" s="10">
        <v>5</v>
      </c>
      <c r="F480" s="10">
        <v>402</v>
      </c>
      <c r="G480" s="10">
        <v>4.5</v>
      </c>
      <c r="H480" s="10">
        <v>0</v>
      </c>
      <c r="I480" s="10">
        <v>1</v>
      </c>
      <c r="J480" s="10">
        <v>1</v>
      </c>
      <c r="K480" s="10">
        <v>0</v>
      </c>
      <c r="L480" s="10">
        <v>0</v>
      </c>
      <c r="M480" s="10">
        <v>0</v>
      </c>
      <c r="N480" s="10">
        <v>2</v>
      </c>
      <c r="O480" s="10">
        <v>0</v>
      </c>
      <c r="P480" s="10">
        <v>0.6</v>
      </c>
      <c r="Q480" s="10">
        <v>0.6</v>
      </c>
      <c r="R480" s="10">
        <v>0.2</v>
      </c>
      <c r="S480" s="10">
        <v>12</v>
      </c>
      <c r="T480" s="10">
        <v>13</v>
      </c>
      <c r="U480" s="10">
        <v>30</v>
      </c>
      <c r="V480" s="10">
        <v>0</v>
      </c>
      <c r="W480" s="10">
        <v>0.22</v>
      </c>
      <c r="X480" s="10">
        <v>0.22</v>
      </c>
      <c r="Y480" s="10">
        <v>0</v>
      </c>
      <c r="Z480" s="10">
        <v>0.14000000000000001</v>
      </c>
      <c r="AA480" s="10">
        <v>0.05</v>
      </c>
      <c r="AB480" s="10">
        <v>0.14000000000000001</v>
      </c>
      <c r="AC480" s="10"/>
      <c r="AD480" s="2"/>
      <c r="AE480" s="1"/>
    </row>
    <row r="481" spans="1:31" hidden="1" x14ac:dyDescent="0.35">
      <c r="A481" s="15">
        <f t="shared" si="18"/>
        <v>1907</v>
      </c>
      <c r="B481" s="16">
        <v>19</v>
      </c>
      <c r="C481" s="13" t="s">
        <v>998</v>
      </c>
      <c r="D481" s="10">
        <v>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/>
      <c r="AD481" s="2"/>
      <c r="AE481" s="1"/>
    </row>
    <row r="482" spans="1:31" hidden="1" x14ac:dyDescent="0.35">
      <c r="A482" s="15">
        <f t="shared" si="18"/>
        <v>1908</v>
      </c>
      <c r="B482" s="16">
        <v>19</v>
      </c>
      <c r="C482" s="13" t="s">
        <v>955</v>
      </c>
      <c r="D482" s="10">
        <v>8</v>
      </c>
      <c r="E482" s="10">
        <v>7</v>
      </c>
      <c r="F482" s="10">
        <v>675</v>
      </c>
      <c r="G482" s="10">
        <v>7.5</v>
      </c>
      <c r="H482" s="10">
        <v>0</v>
      </c>
      <c r="I482" s="10">
        <v>3</v>
      </c>
      <c r="J482" s="10">
        <v>3</v>
      </c>
      <c r="K482" s="10">
        <v>0</v>
      </c>
      <c r="L482" s="10">
        <v>0</v>
      </c>
      <c r="M482" s="10">
        <v>0</v>
      </c>
      <c r="N482" s="10">
        <v>1</v>
      </c>
      <c r="O482" s="10">
        <v>0</v>
      </c>
      <c r="P482" s="10">
        <v>0.2</v>
      </c>
      <c r="Q482" s="10">
        <v>0.2</v>
      </c>
      <c r="R482" s="10">
        <v>0.7</v>
      </c>
      <c r="S482" s="10">
        <v>11</v>
      </c>
      <c r="T482" s="10">
        <v>23</v>
      </c>
      <c r="U482" s="10">
        <v>32</v>
      </c>
      <c r="V482" s="10">
        <v>0</v>
      </c>
      <c r="W482" s="10">
        <v>0.4</v>
      </c>
      <c r="X482" s="10">
        <v>0.4</v>
      </c>
      <c r="Y482" s="10">
        <v>0</v>
      </c>
      <c r="Z482" s="10">
        <v>0.03</v>
      </c>
      <c r="AA482" s="10">
        <v>0.1</v>
      </c>
      <c r="AB482" s="10">
        <v>0.03</v>
      </c>
      <c r="AC482" s="10"/>
      <c r="AD482" s="2"/>
      <c r="AE482" s="1"/>
    </row>
    <row r="483" spans="1:31" hidden="1" x14ac:dyDescent="0.35">
      <c r="A483" s="15">
        <f t="shared" si="18"/>
        <v>1909</v>
      </c>
      <c r="B483" s="16">
        <v>19</v>
      </c>
      <c r="C483" s="13" t="s">
        <v>989</v>
      </c>
      <c r="D483" s="10">
        <v>3</v>
      </c>
      <c r="E483" s="10">
        <v>0</v>
      </c>
      <c r="F483" s="10">
        <v>107</v>
      </c>
      <c r="G483" s="10">
        <v>1.2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2</v>
      </c>
      <c r="U483" s="10">
        <v>2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/>
      <c r="AD483" s="2"/>
      <c r="AE483" s="1"/>
    </row>
    <row r="484" spans="1:31" hidden="1" x14ac:dyDescent="0.35">
      <c r="A484" s="15">
        <f t="shared" si="18"/>
        <v>1910</v>
      </c>
      <c r="B484" s="16">
        <v>19</v>
      </c>
      <c r="C484" s="13" t="s">
        <v>987</v>
      </c>
      <c r="D484" s="10">
        <v>2</v>
      </c>
      <c r="E484" s="10">
        <v>1</v>
      </c>
      <c r="F484" s="10">
        <v>90</v>
      </c>
      <c r="G484" s="10">
        <v>1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5</v>
      </c>
      <c r="U484" s="10">
        <v>3</v>
      </c>
      <c r="V484" s="10">
        <v>0</v>
      </c>
      <c r="W484" s="10">
        <v>0</v>
      </c>
      <c r="X484" s="10">
        <v>0</v>
      </c>
      <c r="Y484" s="10">
        <v>0</v>
      </c>
      <c r="Z484" s="10">
        <v>0.03</v>
      </c>
      <c r="AA484" s="10">
        <v>0</v>
      </c>
      <c r="AB484" s="10">
        <v>0.03</v>
      </c>
      <c r="AC484" s="10"/>
      <c r="AD484" s="2"/>
      <c r="AE484" s="1"/>
    </row>
    <row r="485" spans="1:31" hidden="1" x14ac:dyDescent="0.35">
      <c r="A485" s="15">
        <f t="shared" si="18"/>
        <v>1911</v>
      </c>
      <c r="B485" s="16">
        <v>19</v>
      </c>
      <c r="C485" s="13" t="s">
        <v>996</v>
      </c>
      <c r="D485" s="10">
        <v>1</v>
      </c>
      <c r="E485" s="10">
        <v>0</v>
      </c>
      <c r="F485" s="10">
        <v>1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/>
      <c r="AD485" s="2"/>
      <c r="AE485" s="1"/>
    </row>
    <row r="486" spans="1:31" hidden="1" x14ac:dyDescent="0.35">
      <c r="A486" s="15">
        <f t="shared" si="18"/>
        <v>1912</v>
      </c>
      <c r="B486" s="16">
        <v>19</v>
      </c>
      <c r="C486" s="13" t="s">
        <v>962</v>
      </c>
      <c r="D486" s="10">
        <v>5</v>
      </c>
      <c r="E486" s="10">
        <v>5</v>
      </c>
      <c r="F486" s="10">
        <v>413</v>
      </c>
      <c r="G486" s="10">
        <v>4.5999999999999996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0.1</v>
      </c>
      <c r="Q486" s="10">
        <v>0.1</v>
      </c>
      <c r="R486" s="10">
        <v>0.9</v>
      </c>
      <c r="S486" s="10">
        <v>1</v>
      </c>
      <c r="T486" s="10">
        <v>20</v>
      </c>
      <c r="U486" s="10">
        <v>8</v>
      </c>
      <c r="V486" s="10">
        <v>0</v>
      </c>
      <c r="W486" s="10">
        <v>0</v>
      </c>
      <c r="X486" s="10">
        <v>0</v>
      </c>
      <c r="Y486" s="10">
        <v>0</v>
      </c>
      <c r="Z486" s="10">
        <v>0.03</v>
      </c>
      <c r="AA486" s="10">
        <v>0.2</v>
      </c>
      <c r="AB486" s="10">
        <v>0.03</v>
      </c>
      <c r="AC486" s="10"/>
      <c r="AD486" s="2"/>
      <c r="AE486" s="1"/>
    </row>
    <row r="487" spans="1:31" hidden="1" x14ac:dyDescent="0.35">
      <c r="A487" s="15">
        <f t="shared" si="18"/>
        <v>1913</v>
      </c>
      <c r="B487" s="16">
        <v>19</v>
      </c>
      <c r="C487" s="13" t="s">
        <v>953</v>
      </c>
      <c r="D487" s="10">
        <v>8</v>
      </c>
      <c r="E487" s="10">
        <v>8</v>
      </c>
      <c r="F487" s="10">
        <v>720</v>
      </c>
      <c r="G487" s="10">
        <v>8</v>
      </c>
      <c r="H487" s="10">
        <v>3</v>
      </c>
      <c r="I487" s="10">
        <v>0</v>
      </c>
      <c r="J487" s="10">
        <v>3</v>
      </c>
      <c r="K487" s="10">
        <v>3</v>
      </c>
      <c r="L487" s="10">
        <v>0</v>
      </c>
      <c r="M487" s="10">
        <v>0</v>
      </c>
      <c r="N487" s="10">
        <v>0</v>
      </c>
      <c r="O487" s="10">
        <v>0</v>
      </c>
      <c r="P487" s="10">
        <v>0.9</v>
      </c>
      <c r="Q487" s="10">
        <v>0.9</v>
      </c>
      <c r="R487" s="10">
        <v>1</v>
      </c>
      <c r="S487" s="10">
        <v>25</v>
      </c>
      <c r="T487" s="10">
        <v>16</v>
      </c>
      <c r="U487" s="10">
        <v>56</v>
      </c>
      <c r="V487" s="10">
        <v>0.37</v>
      </c>
      <c r="W487" s="10">
        <v>0</v>
      </c>
      <c r="X487" s="10">
        <v>0.37</v>
      </c>
      <c r="Y487" s="10">
        <v>0.37</v>
      </c>
      <c r="Z487" s="10">
        <v>0.12</v>
      </c>
      <c r="AA487" s="10">
        <v>0.12</v>
      </c>
      <c r="AB487" s="10">
        <v>0.12</v>
      </c>
      <c r="AC487" s="10"/>
      <c r="AD487" s="2"/>
      <c r="AE487" s="1"/>
    </row>
    <row r="488" spans="1:31" hidden="1" x14ac:dyDescent="0.35">
      <c r="A488" s="15">
        <f t="shared" si="18"/>
        <v>1914</v>
      </c>
      <c r="B488" s="16">
        <v>19</v>
      </c>
      <c r="C488" s="13" t="s">
        <v>983</v>
      </c>
      <c r="D488" s="10">
        <v>3</v>
      </c>
      <c r="E488" s="10">
        <v>3</v>
      </c>
      <c r="F488" s="10">
        <v>216</v>
      </c>
      <c r="G488" s="10">
        <v>2.4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2</v>
      </c>
      <c r="T488" s="10">
        <v>10</v>
      </c>
      <c r="U488" s="10">
        <v>1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/>
      <c r="AD488" s="2"/>
      <c r="AE488" s="1"/>
    </row>
    <row r="489" spans="1:31" hidden="1" x14ac:dyDescent="0.35">
      <c r="A489" s="15">
        <f t="shared" si="18"/>
        <v>1915</v>
      </c>
      <c r="B489" s="16">
        <v>19</v>
      </c>
      <c r="C489" s="13" t="s">
        <v>960</v>
      </c>
      <c r="D489" s="10">
        <v>6</v>
      </c>
      <c r="E489" s="10">
        <v>5</v>
      </c>
      <c r="F489" s="10">
        <v>495</v>
      </c>
      <c r="G489" s="10">
        <v>5.5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1</v>
      </c>
      <c r="O489" s="10">
        <v>0</v>
      </c>
      <c r="P489" s="10">
        <v>0.4</v>
      </c>
      <c r="Q489" s="10">
        <v>0.4</v>
      </c>
      <c r="R489" s="10">
        <v>0</v>
      </c>
      <c r="S489" s="10">
        <v>2</v>
      </c>
      <c r="T489" s="10">
        <v>17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7.0000000000000007E-2</v>
      </c>
      <c r="AA489" s="10">
        <v>0</v>
      </c>
      <c r="AB489" s="10">
        <v>7.0000000000000007E-2</v>
      </c>
      <c r="AC489" s="10"/>
      <c r="AD489" s="2"/>
      <c r="AE489" s="1"/>
    </row>
    <row r="490" spans="1:31" hidden="1" x14ac:dyDescent="0.35">
      <c r="A490" s="15">
        <f t="shared" si="18"/>
        <v>1916</v>
      </c>
      <c r="B490" s="16">
        <v>19</v>
      </c>
      <c r="C490" s="13" t="s">
        <v>967</v>
      </c>
      <c r="D490" s="10">
        <v>7</v>
      </c>
      <c r="E490" s="10">
        <v>5</v>
      </c>
      <c r="F490" s="10">
        <v>438</v>
      </c>
      <c r="G490" s="10">
        <v>4.9000000000000004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1</v>
      </c>
      <c r="O490" s="10">
        <v>0</v>
      </c>
      <c r="P490" s="10">
        <v>0.1</v>
      </c>
      <c r="Q490" s="10">
        <v>0.1</v>
      </c>
      <c r="R490" s="10">
        <v>0.1</v>
      </c>
      <c r="S490" s="10">
        <v>12</v>
      </c>
      <c r="T490" s="10">
        <v>15</v>
      </c>
      <c r="U490" s="10">
        <v>18</v>
      </c>
      <c r="V490" s="10">
        <v>0</v>
      </c>
      <c r="W490" s="10">
        <v>0</v>
      </c>
      <c r="X490" s="10">
        <v>0</v>
      </c>
      <c r="Y490" s="10">
        <v>0</v>
      </c>
      <c r="Z490" s="10">
        <v>0.03</v>
      </c>
      <c r="AA490" s="10">
        <v>0.02</v>
      </c>
      <c r="AB490" s="10">
        <v>0.03</v>
      </c>
      <c r="AC490" s="10"/>
      <c r="AD490" s="2"/>
      <c r="AE490" s="1"/>
    </row>
    <row r="491" spans="1:31" hidden="1" x14ac:dyDescent="0.35">
      <c r="A491" s="15">
        <f t="shared" si="18"/>
        <v>1917</v>
      </c>
      <c r="B491" s="16">
        <v>19</v>
      </c>
      <c r="C491" s="13" t="s">
        <v>958</v>
      </c>
      <c r="D491" s="10">
        <v>8</v>
      </c>
      <c r="E491" s="10">
        <v>8</v>
      </c>
      <c r="F491" s="10">
        <v>696</v>
      </c>
      <c r="G491" s="10">
        <v>7.7</v>
      </c>
      <c r="H491" s="10">
        <v>2</v>
      </c>
      <c r="I491" s="10">
        <v>0</v>
      </c>
      <c r="J491" s="10">
        <v>2</v>
      </c>
      <c r="K491" s="10">
        <v>1</v>
      </c>
      <c r="L491" s="10">
        <v>1</v>
      </c>
      <c r="M491" s="10">
        <v>1</v>
      </c>
      <c r="N491" s="10">
        <v>2</v>
      </c>
      <c r="O491" s="10">
        <v>0</v>
      </c>
      <c r="P491" s="10">
        <v>1.6</v>
      </c>
      <c r="Q491" s="10">
        <v>0.8</v>
      </c>
      <c r="R491" s="10">
        <v>0.8</v>
      </c>
      <c r="S491" s="10">
        <v>4</v>
      </c>
      <c r="T491" s="10">
        <v>57</v>
      </c>
      <c r="U491" s="10">
        <v>33</v>
      </c>
      <c r="V491" s="10">
        <v>0.26</v>
      </c>
      <c r="W491" s="10">
        <v>0</v>
      </c>
      <c r="X491" s="10">
        <v>0.26</v>
      </c>
      <c r="Y491" s="10">
        <v>0.13</v>
      </c>
      <c r="Z491" s="10">
        <v>0.2</v>
      </c>
      <c r="AA491" s="10">
        <v>0.1</v>
      </c>
      <c r="AB491" s="10">
        <v>0.1</v>
      </c>
      <c r="AC491" s="10"/>
      <c r="AD491" s="2"/>
      <c r="AE491" s="1"/>
    </row>
    <row r="492" spans="1:31" hidden="1" x14ac:dyDescent="0.35">
      <c r="A492" s="15">
        <f t="shared" si="18"/>
        <v>1918</v>
      </c>
      <c r="B492" s="16">
        <v>19</v>
      </c>
      <c r="C492" s="13" t="s">
        <v>991</v>
      </c>
      <c r="D492" s="10">
        <v>3</v>
      </c>
      <c r="E492" s="10">
        <v>0</v>
      </c>
      <c r="F492" s="10">
        <v>57</v>
      </c>
      <c r="G492" s="10">
        <v>0.6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0.1</v>
      </c>
      <c r="Q492" s="10">
        <v>0.1</v>
      </c>
      <c r="R492" s="10">
        <v>0</v>
      </c>
      <c r="S492" s="10">
        <v>0</v>
      </c>
      <c r="T492" s="10">
        <v>0</v>
      </c>
      <c r="U492" s="10">
        <v>3</v>
      </c>
      <c r="V492" s="10">
        <v>0</v>
      </c>
      <c r="W492" s="10">
        <v>0</v>
      </c>
      <c r="X492" s="10">
        <v>0</v>
      </c>
      <c r="Y492" s="10">
        <v>0</v>
      </c>
      <c r="Z492" s="10">
        <v>0.11</v>
      </c>
      <c r="AA492" s="10">
        <v>0</v>
      </c>
      <c r="AB492" s="10">
        <v>0.11</v>
      </c>
      <c r="AC492" s="10"/>
      <c r="AD492" s="2"/>
      <c r="AE492" s="1"/>
    </row>
    <row r="493" spans="1:31" hidden="1" x14ac:dyDescent="0.35">
      <c r="A493" s="15">
        <f t="shared" si="18"/>
        <v>1919</v>
      </c>
      <c r="B493" s="16">
        <v>19</v>
      </c>
      <c r="C493" s="13" t="s">
        <v>1000</v>
      </c>
      <c r="D493" s="10">
        <v>0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/>
      <c r="AD493" s="2"/>
      <c r="AE493" s="1"/>
    </row>
    <row r="494" spans="1:31" hidden="1" x14ac:dyDescent="0.35">
      <c r="A494" s="15">
        <f t="shared" si="18"/>
        <v>1920</v>
      </c>
      <c r="B494" s="16">
        <v>19</v>
      </c>
      <c r="C494" s="13" t="s">
        <v>969</v>
      </c>
      <c r="D494" s="10">
        <v>4</v>
      </c>
      <c r="E494" s="10">
        <v>4</v>
      </c>
      <c r="F494" s="10">
        <v>360</v>
      </c>
      <c r="G494" s="10">
        <v>4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/>
      <c r="AD494" s="2"/>
      <c r="AE494" s="1"/>
    </row>
    <row r="495" spans="1:31" hidden="1" x14ac:dyDescent="0.35">
      <c r="A495" s="15">
        <f t="shared" si="18"/>
        <v>1921</v>
      </c>
      <c r="B495" s="16">
        <v>19</v>
      </c>
      <c r="C495" s="13" t="s">
        <v>964</v>
      </c>
      <c r="D495" s="10">
        <v>6</v>
      </c>
      <c r="E495" s="10">
        <v>6</v>
      </c>
      <c r="F495" s="10">
        <v>443</v>
      </c>
      <c r="G495" s="10">
        <v>4.9000000000000004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0.2</v>
      </c>
      <c r="Q495" s="10">
        <v>0.2</v>
      </c>
      <c r="R495" s="10">
        <v>0.5</v>
      </c>
      <c r="S495" s="10">
        <v>7</v>
      </c>
      <c r="T495" s="10">
        <v>13</v>
      </c>
      <c r="U495" s="10">
        <v>6</v>
      </c>
      <c r="V495" s="10">
        <v>0</v>
      </c>
      <c r="W495" s="10">
        <v>0</v>
      </c>
      <c r="X495" s="10">
        <v>0</v>
      </c>
      <c r="Y495" s="10">
        <v>0</v>
      </c>
      <c r="Z495" s="10">
        <v>0.03</v>
      </c>
      <c r="AA495" s="10">
        <v>0.11</v>
      </c>
      <c r="AB495" s="10">
        <v>0.03</v>
      </c>
      <c r="AC495" s="10"/>
      <c r="AD495" s="2"/>
      <c r="AE495" s="1"/>
    </row>
    <row r="496" spans="1:31" hidden="1" x14ac:dyDescent="0.35">
      <c r="A496" s="15">
        <f t="shared" si="18"/>
        <v>1922</v>
      </c>
      <c r="B496" s="16">
        <v>19</v>
      </c>
      <c r="C496" s="13" t="s">
        <v>957</v>
      </c>
      <c r="D496" s="10">
        <v>8</v>
      </c>
      <c r="E496" s="10">
        <v>8</v>
      </c>
      <c r="F496" s="10">
        <v>720</v>
      </c>
      <c r="G496" s="10">
        <v>8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3</v>
      </c>
      <c r="O496" s="10">
        <v>0</v>
      </c>
      <c r="P496" s="10">
        <v>0.4</v>
      </c>
      <c r="Q496" s="10">
        <v>0.4</v>
      </c>
      <c r="R496" s="10">
        <v>0.2</v>
      </c>
      <c r="S496" s="10">
        <v>3</v>
      </c>
      <c r="T496" s="10">
        <v>17</v>
      </c>
      <c r="U496" s="10">
        <v>1</v>
      </c>
      <c r="V496" s="10">
        <v>0</v>
      </c>
      <c r="W496" s="10">
        <v>0</v>
      </c>
      <c r="X496" s="10">
        <v>0</v>
      </c>
      <c r="Y496" s="10">
        <v>0</v>
      </c>
      <c r="Z496" s="10">
        <v>0.05</v>
      </c>
      <c r="AA496" s="10">
        <v>0.02</v>
      </c>
      <c r="AB496" s="10">
        <v>0.05</v>
      </c>
      <c r="AC496" s="10"/>
      <c r="AD496" s="2"/>
      <c r="AE496" s="1"/>
    </row>
    <row r="497" spans="1:31" hidden="1" x14ac:dyDescent="0.35">
      <c r="A497" s="15">
        <f t="shared" si="18"/>
        <v>1923</v>
      </c>
      <c r="B497" s="16">
        <v>19</v>
      </c>
      <c r="C497" s="13" t="s">
        <v>979</v>
      </c>
      <c r="D497" s="10">
        <v>2</v>
      </c>
      <c r="E497" s="10">
        <v>2</v>
      </c>
      <c r="F497" s="10">
        <v>180</v>
      </c>
      <c r="G497" s="10">
        <v>2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0.1</v>
      </c>
      <c r="Q497" s="10">
        <v>0.1</v>
      </c>
      <c r="R497" s="10">
        <v>0</v>
      </c>
      <c r="S497" s="10">
        <v>2</v>
      </c>
      <c r="T497" s="10">
        <v>9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0.05</v>
      </c>
      <c r="AA497" s="10">
        <v>0</v>
      </c>
      <c r="AB497" s="10">
        <v>0.05</v>
      </c>
      <c r="AC497" s="10"/>
      <c r="AD497" s="2"/>
      <c r="AE497" s="1"/>
    </row>
    <row r="498" spans="1:31" hidden="1" x14ac:dyDescent="0.35">
      <c r="A498" s="15">
        <f t="shared" si="18"/>
        <v>1924</v>
      </c>
      <c r="B498" s="16">
        <v>19</v>
      </c>
      <c r="C498" s="13" t="s">
        <v>966</v>
      </c>
      <c r="D498" s="10">
        <v>6</v>
      </c>
      <c r="E498" s="10">
        <v>5</v>
      </c>
      <c r="F498" s="10">
        <v>379</v>
      </c>
      <c r="G498" s="10">
        <v>4.2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0.8</v>
      </c>
      <c r="Q498" s="10">
        <v>0.8</v>
      </c>
      <c r="R498" s="10">
        <v>0.6</v>
      </c>
      <c r="S498" s="10">
        <v>1</v>
      </c>
      <c r="T498" s="10">
        <v>5</v>
      </c>
      <c r="U498" s="10">
        <v>15</v>
      </c>
      <c r="V498" s="10">
        <v>0</v>
      </c>
      <c r="W498" s="10">
        <v>0</v>
      </c>
      <c r="X498" s="10">
        <v>0</v>
      </c>
      <c r="Y498" s="10">
        <v>0</v>
      </c>
      <c r="Z498" s="10">
        <v>0.19</v>
      </c>
      <c r="AA498" s="10">
        <v>0.13</v>
      </c>
      <c r="AB498" s="10">
        <v>0.19</v>
      </c>
      <c r="AC498" s="10"/>
      <c r="AD498" s="2"/>
      <c r="AE498" s="1"/>
    </row>
    <row r="499" spans="1:31" hidden="1" x14ac:dyDescent="0.35">
      <c r="A499" s="15">
        <f t="shared" si="18"/>
        <v>1925</v>
      </c>
      <c r="B499" s="16">
        <v>19</v>
      </c>
      <c r="C499" s="13" t="s">
        <v>1002</v>
      </c>
      <c r="D499" s="10">
        <v>1</v>
      </c>
      <c r="E499" s="10">
        <v>1</v>
      </c>
      <c r="F499" s="10">
        <v>45</v>
      </c>
      <c r="G499" s="10">
        <v>0.5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2</v>
      </c>
      <c r="U499" s="10">
        <v>2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/>
      <c r="AD499" s="5"/>
      <c r="AE499" s="1"/>
    </row>
    <row r="500" spans="1:31" hidden="1" x14ac:dyDescent="0.35">
      <c r="A500" s="15">
        <f t="shared" si="18"/>
        <v>1926</v>
      </c>
      <c r="B500" s="16">
        <v>19</v>
      </c>
      <c r="C500" s="13" t="s">
        <v>981</v>
      </c>
      <c r="D500" s="10">
        <v>4</v>
      </c>
      <c r="E500" s="10">
        <v>2</v>
      </c>
      <c r="F500" s="10">
        <v>161</v>
      </c>
      <c r="G500" s="10">
        <v>1.8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1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2</v>
      </c>
      <c r="U500" s="10">
        <v>3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/>
      <c r="AD500" s="5"/>
      <c r="AE500" s="1"/>
    </row>
    <row r="501" spans="1:31" hidden="1" x14ac:dyDescent="0.35">
      <c r="A501" s="15">
        <f t="shared" si="18"/>
        <v>1927</v>
      </c>
      <c r="B501" s="16">
        <v>19</v>
      </c>
      <c r="C501" s="13" t="s">
        <v>977</v>
      </c>
      <c r="D501" s="10">
        <v>5</v>
      </c>
      <c r="E501" s="10">
        <v>4</v>
      </c>
      <c r="F501" s="10">
        <v>302</v>
      </c>
      <c r="G501" s="10">
        <v>3.4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1</v>
      </c>
      <c r="P501" s="10">
        <v>0.2</v>
      </c>
      <c r="Q501" s="10">
        <v>0.2</v>
      </c>
      <c r="R501" s="10">
        <v>0</v>
      </c>
      <c r="S501" s="10">
        <v>1</v>
      </c>
      <c r="T501" s="10">
        <v>6</v>
      </c>
      <c r="U501" s="10">
        <v>4</v>
      </c>
      <c r="V501" s="10">
        <v>0</v>
      </c>
      <c r="W501" s="10">
        <v>0</v>
      </c>
      <c r="X501" s="10">
        <v>0</v>
      </c>
      <c r="Y501" s="10">
        <v>0</v>
      </c>
      <c r="Z501" s="10">
        <v>7.0000000000000007E-2</v>
      </c>
      <c r="AA501" s="10">
        <v>0.01</v>
      </c>
      <c r="AB501" s="10">
        <v>7.0000000000000007E-2</v>
      </c>
      <c r="AC501" s="10"/>
      <c r="AD501" s="2"/>
      <c r="AE501" s="1"/>
    </row>
    <row r="502" spans="1:31" hidden="1" x14ac:dyDescent="0.35">
      <c r="A502" s="15">
        <v>2001</v>
      </c>
      <c r="B502" s="16">
        <v>20</v>
      </c>
      <c r="C502" s="13" t="s">
        <v>1010</v>
      </c>
      <c r="D502" s="10">
        <v>8</v>
      </c>
      <c r="E502" s="10">
        <v>6</v>
      </c>
      <c r="F502" s="10">
        <v>533</v>
      </c>
      <c r="G502" s="10">
        <v>5.9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2</v>
      </c>
      <c r="O502" s="10">
        <v>0</v>
      </c>
      <c r="P502" s="10">
        <v>0</v>
      </c>
      <c r="Q502" s="10">
        <v>0</v>
      </c>
      <c r="R502" s="10">
        <v>0</v>
      </c>
      <c r="S502" s="10">
        <v>6</v>
      </c>
      <c r="T502" s="10">
        <v>24</v>
      </c>
      <c r="U502" s="10">
        <v>3</v>
      </c>
      <c r="V502" s="10">
        <v>0</v>
      </c>
      <c r="W502" s="10">
        <v>0</v>
      </c>
      <c r="X502" s="10">
        <v>0</v>
      </c>
      <c r="Y502" s="10">
        <v>0</v>
      </c>
      <c r="Z502" s="10">
        <v>0.01</v>
      </c>
      <c r="AA502" s="10">
        <v>0</v>
      </c>
      <c r="AB502" s="10">
        <v>0.01</v>
      </c>
      <c r="AC502" s="10"/>
      <c r="AD502" s="2"/>
      <c r="AE502" s="1"/>
    </row>
    <row r="503" spans="1:31" hidden="1" x14ac:dyDescent="0.35">
      <c r="A503" s="15">
        <f>A502+1</f>
        <v>2002</v>
      </c>
      <c r="B503" s="16">
        <v>20</v>
      </c>
      <c r="C503" s="13" t="s">
        <v>1047</v>
      </c>
      <c r="D503" s="10">
        <v>0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/>
      <c r="AD503" s="2"/>
      <c r="AE503" s="1"/>
    </row>
    <row r="504" spans="1:31" hidden="1" x14ac:dyDescent="0.35">
      <c r="A504" s="15">
        <f t="shared" ref="A504:A525" si="19">A503+1</f>
        <v>2003</v>
      </c>
      <c r="B504" s="16">
        <v>20</v>
      </c>
      <c r="C504" s="13" t="s">
        <v>1039</v>
      </c>
      <c r="D504" s="10">
        <v>4</v>
      </c>
      <c r="E504" s="10">
        <v>2</v>
      </c>
      <c r="F504" s="10">
        <v>145</v>
      </c>
      <c r="G504" s="10">
        <v>1.6</v>
      </c>
      <c r="H504" s="10">
        <v>0</v>
      </c>
      <c r="I504" s="10">
        <v>1</v>
      </c>
      <c r="J504" s="10">
        <v>1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0.3</v>
      </c>
      <c r="S504" s="10">
        <v>3</v>
      </c>
      <c r="T504" s="10">
        <v>3</v>
      </c>
      <c r="U504" s="10">
        <v>8</v>
      </c>
      <c r="V504" s="10">
        <v>0</v>
      </c>
      <c r="W504" s="10">
        <v>0.62</v>
      </c>
      <c r="X504" s="10">
        <v>0.62</v>
      </c>
      <c r="Y504" s="10">
        <v>0</v>
      </c>
      <c r="Z504" s="10">
        <v>0</v>
      </c>
      <c r="AA504" s="10">
        <v>0.17</v>
      </c>
      <c r="AB504" s="10">
        <v>0</v>
      </c>
      <c r="AC504" s="10"/>
      <c r="AD504" s="2"/>
      <c r="AE504" s="1"/>
    </row>
    <row r="505" spans="1:31" hidden="1" x14ac:dyDescent="0.35">
      <c r="A505" s="15">
        <f t="shared" si="19"/>
        <v>2004</v>
      </c>
      <c r="B505" s="16">
        <v>20</v>
      </c>
      <c r="C505" s="13" t="s">
        <v>1007</v>
      </c>
      <c r="D505" s="10">
        <v>7</v>
      </c>
      <c r="E505" s="10">
        <v>5</v>
      </c>
      <c r="F505" s="10">
        <v>526</v>
      </c>
      <c r="G505" s="10">
        <v>5.8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0.4</v>
      </c>
      <c r="Q505" s="10">
        <v>0.4</v>
      </c>
      <c r="R505" s="10">
        <v>0.1</v>
      </c>
      <c r="S505" s="10">
        <v>3</v>
      </c>
      <c r="T505" s="10">
        <v>26</v>
      </c>
      <c r="U505" s="10">
        <v>5</v>
      </c>
      <c r="V505" s="10">
        <v>0</v>
      </c>
      <c r="W505" s="10">
        <v>0</v>
      </c>
      <c r="X505" s="10">
        <v>0</v>
      </c>
      <c r="Y505" s="10">
        <v>0</v>
      </c>
      <c r="Z505" s="10">
        <v>7.0000000000000007E-2</v>
      </c>
      <c r="AA505" s="10">
        <v>0.02</v>
      </c>
      <c r="AB505" s="10">
        <v>7.0000000000000007E-2</v>
      </c>
      <c r="AC505" s="10"/>
      <c r="AD505" s="2"/>
      <c r="AE505" s="1"/>
    </row>
    <row r="506" spans="1:31" hidden="1" x14ac:dyDescent="0.35">
      <c r="A506" s="15">
        <f t="shared" si="19"/>
        <v>2005</v>
      </c>
      <c r="B506" s="16">
        <v>20</v>
      </c>
      <c r="C506" s="13" t="s">
        <v>1044</v>
      </c>
      <c r="D506" s="10">
        <v>5</v>
      </c>
      <c r="E506" s="10">
        <v>1</v>
      </c>
      <c r="F506" s="10">
        <v>120</v>
      </c>
      <c r="G506" s="10">
        <v>1.3</v>
      </c>
      <c r="H506" s="10">
        <v>0</v>
      </c>
      <c r="I506" s="10">
        <v>1</v>
      </c>
      <c r="J506" s="10">
        <v>1</v>
      </c>
      <c r="K506" s="10">
        <v>0</v>
      </c>
      <c r="L506" s="10">
        <v>0</v>
      </c>
      <c r="M506" s="10">
        <v>0</v>
      </c>
      <c r="N506" s="10">
        <v>1</v>
      </c>
      <c r="O506" s="10">
        <v>0</v>
      </c>
      <c r="P506" s="10">
        <v>0.1</v>
      </c>
      <c r="Q506" s="10">
        <v>0.1</v>
      </c>
      <c r="R506" s="10">
        <v>0.7</v>
      </c>
      <c r="S506" s="10">
        <v>5</v>
      </c>
      <c r="T506" s="10">
        <v>14</v>
      </c>
      <c r="U506" s="10">
        <v>10</v>
      </c>
      <c r="V506" s="10">
        <v>0</v>
      </c>
      <c r="W506" s="10">
        <v>0.75</v>
      </c>
      <c r="X506" s="10">
        <v>0.75</v>
      </c>
      <c r="Y506" s="10">
        <v>0</v>
      </c>
      <c r="Z506" s="10">
        <v>0.1</v>
      </c>
      <c r="AA506" s="10">
        <v>0.56000000000000005</v>
      </c>
      <c r="AB506" s="10">
        <v>0.1</v>
      </c>
      <c r="AC506" s="10"/>
      <c r="AD506" s="2"/>
      <c r="AE506" s="1"/>
    </row>
    <row r="507" spans="1:31" hidden="1" x14ac:dyDescent="0.35">
      <c r="A507" s="15">
        <f t="shared" si="19"/>
        <v>2006</v>
      </c>
      <c r="B507" s="16">
        <v>20</v>
      </c>
      <c r="C507" s="13" t="s">
        <v>1013</v>
      </c>
      <c r="D507" s="10">
        <v>8</v>
      </c>
      <c r="E507" s="10">
        <v>5</v>
      </c>
      <c r="F507" s="10">
        <v>530</v>
      </c>
      <c r="G507" s="10">
        <v>5.9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1</v>
      </c>
      <c r="O507" s="10">
        <v>0</v>
      </c>
      <c r="P507" s="10">
        <v>0.1</v>
      </c>
      <c r="Q507" s="10">
        <v>0.1</v>
      </c>
      <c r="R507" s="10">
        <v>0.8</v>
      </c>
      <c r="S507" s="10">
        <v>17</v>
      </c>
      <c r="T507" s="10">
        <v>12</v>
      </c>
      <c r="U507" s="10">
        <v>39</v>
      </c>
      <c r="V507" s="10">
        <v>0</v>
      </c>
      <c r="W507" s="10">
        <v>0</v>
      </c>
      <c r="X507" s="10">
        <v>0</v>
      </c>
      <c r="Y507" s="10">
        <v>0</v>
      </c>
      <c r="Z507" s="10">
        <v>0.02</v>
      </c>
      <c r="AA507" s="10">
        <v>0.14000000000000001</v>
      </c>
      <c r="AB507" s="10">
        <v>0.02</v>
      </c>
      <c r="AC507" s="10"/>
      <c r="AD507" s="2"/>
      <c r="AE507" s="1"/>
    </row>
    <row r="508" spans="1:31" hidden="1" x14ac:dyDescent="0.35">
      <c r="A508" s="15">
        <f t="shared" si="19"/>
        <v>2007</v>
      </c>
      <c r="B508" s="16">
        <v>20</v>
      </c>
      <c r="C508" s="13" t="s">
        <v>1023</v>
      </c>
      <c r="D508" s="10">
        <v>6</v>
      </c>
      <c r="E508" s="10">
        <v>4</v>
      </c>
      <c r="F508" s="10">
        <v>277</v>
      </c>
      <c r="G508" s="10">
        <v>3.1</v>
      </c>
      <c r="H508" s="10">
        <v>1</v>
      </c>
      <c r="I508" s="10">
        <v>0</v>
      </c>
      <c r="J508" s="10">
        <v>1</v>
      </c>
      <c r="K508" s="10">
        <v>1</v>
      </c>
      <c r="L508" s="10">
        <v>0</v>
      </c>
      <c r="M508" s="10">
        <v>0</v>
      </c>
      <c r="N508" s="10">
        <v>0</v>
      </c>
      <c r="O508" s="10">
        <v>0</v>
      </c>
      <c r="P508" s="10">
        <v>0.6</v>
      </c>
      <c r="Q508" s="10">
        <v>0.6</v>
      </c>
      <c r="R508" s="10">
        <v>0</v>
      </c>
      <c r="S508" s="10">
        <v>5</v>
      </c>
      <c r="T508" s="10">
        <v>7</v>
      </c>
      <c r="U508" s="10">
        <v>14</v>
      </c>
      <c r="V508" s="10">
        <v>0.32</v>
      </c>
      <c r="W508" s="10">
        <v>0</v>
      </c>
      <c r="X508" s="10">
        <v>0.32</v>
      </c>
      <c r="Y508" s="10">
        <v>0.32</v>
      </c>
      <c r="Z508" s="10">
        <v>0.21</v>
      </c>
      <c r="AA508" s="10">
        <v>0.01</v>
      </c>
      <c r="AB508" s="10">
        <v>0.21</v>
      </c>
      <c r="AC508" s="10"/>
      <c r="AD508" s="2"/>
      <c r="AE508" s="1"/>
    </row>
    <row r="509" spans="1:31" hidden="1" x14ac:dyDescent="0.35">
      <c r="A509" s="15">
        <f t="shared" si="19"/>
        <v>2008</v>
      </c>
      <c r="B509" s="16">
        <v>20</v>
      </c>
      <c r="C509" s="13" t="s">
        <v>1025</v>
      </c>
      <c r="D509" s="10">
        <v>7</v>
      </c>
      <c r="E509" s="10">
        <v>3</v>
      </c>
      <c r="F509" s="10">
        <v>372</v>
      </c>
      <c r="G509" s="10">
        <v>4.0999999999999996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0.3</v>
      </c>
      <c r="Q509" s="10">
        <v>0.3</v>
      </c>
      <c r="R509" s="10">
        <v>0.1</v>
      </c>
      <c r="S509" s="10">
        <v>8</v>
      </c>
      <c r="T509" s="10">
        <v>4</v>
      </c>
      <c r="U509" s="10">
        <v>30</v>
      </c>
      <c r="V509" s="10">
        <v>0</v>
      </c>
      <c r="W509" s="10">
        <v>0</v>
      </c>
      <c r="X509" s="10">
        <v>0</v>
      </c>
      <c r="Y509" s="10">
        <v>0</v>
      </c>
      <c r="Z509" s="10">
        <v>0.06</v>
      </c>
      <c r="AA509" s="10">
        <v>0.03</v>
      </c>
      <c r="AB509" s="10">
        <v>0.06</v>
      </c>
      <c r="AC509" s="10"/>
      <c r="AD509" s="2"/>
      <c r="AE509" s="1"/>
    </row>
    <row r="510" spans="1:31" hidden="1" x14ac:dyDescent="0.35">
      <c r="A510" s="15">
        <f t="shared" si="19"/>
        <v>2009</v>
      </c>
      <c r="B510" s="16">
        <v>20</v>
      </c>
      <c r="C510" s="13" t="s">
        <v>1031</v>
      </c>
      <c r="D510" s="10">
        <v>7</v>
      </c>
      <c r="E510" s="10">
        <v>3</v>
      </c>
      <c r="F510" s="10">
        <v>255</v>
      </c>
      <c r="G510" s="10">
        <v>2.8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0.2</v>
      </c>
      <c r="Q510" s="10">
        <v>0.2</v>
      </c>
      <c r="R510" s="10">
        <v>0.3</v>
      </c>
      <c r="S510" s="10">
        <v>9</v>
      </c>
      <c r="T510" s="10">
        <v>17</v>
      </c>
      <c r="U510" s="10">
        <v>8</v>
      </c>
      <c r="V510" s="10">
        <v>0</v>
      </c>
      <c r="W510" s="10">
        <v>0</v>
      </c>
      <c r="X510" s="10">
        <v>0</v>
      </c>
      <c r="Y510" s="10">
        <v>0</v>
      </c>
      <c r="Z510" s="10">
        <v>7.0000000000000007E-2</v>
      </c>
      <c r="AA510" s="10">
        <v>0.1</v>
      </c>
      <c r="AB510" s="10">
        <v>7.0000000000000007E-2</v>
      </c>
      <c r="AC510" s="10"/>
      <c r="AD510" s="2"/>
      <c r="AE510" s="1"/>
    </row>
    <row r="511" spans="1:31" hidden="1" x14ac:dyDescent="0.35">
      <c r="A511" s="15">
        <f t="shared" si="19"/>
        <v>2010</v>
      </c>
      <c r="B511" s="16">
        <v>20</v>
      </c>
      <c r="C511" s="13" t="s">
        <v>1021</v>
      </c>
      <c r="D511" s="10">
        <v>8</v>
      </c>
      <c r="E511" s="10">
        <v>5</v>
      </c>
      <c r="F511" s="10">
        <v>435</v>
      </c>
      <c r="G511" s="10">
        <v>4.8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0.7</v>
      </c>
      <c r="Q511" s="10">
        <v>0.7</v>
      </c>
      <c r="R511" s="10">
        <v>0.4</v>
      </c>
      <c r="S511" s="10">
        <v>8</v>
      </c>
      <c r="T511" s="10">
        <v>17</v>
      </c>
      <c r="U511" s="10">
        <v>21</v>
      </c>
      <c r="V511" s="10">
        <v>0</v>
      </c>
      <c r="W511" s="10">
        <v>0</v>
      </c>
      <c r="X511" s="10">
        <v>0</v>
      </c>
      <c r="Y511" s="10">
        <v>0</v>
      </c>
      <c r="Z511" s="10">
        <v>0.14000000000000001</v>
      </c>
      <c r="AA511" s="10">
        <v>0.09</v>
      </c>
      <c r="AB511" s="10">
        <v>0.14000000000000001</v>
      </c>
      <c r="AC511" s="10"/>
      <c r="AD511" s="2"/>
      <c r="AE511" s="1"/>
    </row>
    <row r="512" spans="1:31" hidden="1" x14ac:dyDescent="0.35">
      <c r="A512" s="15">
        <f t="shared" si="19"/>
        <v>2011</v>
      </c>
      <c r="B512" s="16">
        <v>20</v>
      </c>
      <c r="C512" s="13" t="s">
        <v>1005</v>
      </c>
      <c r="D512" s="10">
        <v>8</v>
      </c>
      <c r="E512" s="10">
        <v>8</v>
      </c>
      <c r="F512" s="10">
        <v>677</v>
      </c>
      <c r="G512" s="10">
        <v>7.5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3</v>
      </c>
      <c r="O512" s="10">
        <v>0</v>
      </c>
      <c r="P512" s="10">
        <v>0.3</v>
      </c>
      <c r="Q512" s="10">
        <v>0.3</v>
      </c>
      <c r="R512" s="10">
        <v>0.2</v>
      </c>
      <c r="S512" s="10">
        <v>9</v>
      </c>
      <c r="T512" s="10">
        <v>44</v>
      </c>
      <c r="U512" s="10">
        <v>13</v>
      </c>
      <c r="V512" s="10">
        <v>0</v>
      </c>
      <c r="W512" s="10">
        <v>0</v>
      </c>
      <c r="X512" s="10">
        <v>0</v>
      </c>
      <c r="Y512" s="10">
        <v>0</v>
      </c>
      <c r="Z512" s="10">
        <v>0.05</v>
      </c>
      <c r="AA512" s="10">
        <v>0.03</v>
      </c>
      <c r="AB512" s="10">
        <v>0.05</v>
      </c>
      <c r="AC512" s="10"/>
      <c r="AD512" s="2"/>
      <c r="AE512" s="1"/>
    </row>
    <row r="513" spans="1:31" hidden="1" x14ac:dyDescent="0.35">
      <c r="A513" s="15">
        <f t="shared" si="19"/>
        <v>2012</v>
      </c>
      <c r="B513" s="16">
        <v>20</v>
      </c>
      <c r="C513" s="13" t="s">
        <v>1015</v>
      </c>
      <c r="D513" s="10">
        <v>6</v>
      </c>
      <c r="E513" s="10">
        <v>5</v>
      </c>
      <c r="F513" s="10">
        <v>452</v>
      </c>
      <c r="G513" s="10">
        <v>5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0.7</v>
      </c>
      <c r="Q513" s="10">
        <v>0.7</v>
      </c>
      <c r="R513" s="10">
        <v>0.3</v>
      </c>
      <c r="S513" s="10">
        <v>2</v>
      </c>
      <c r="T513" s="10">
        <v>3</v>
      </c>
      <c r="U513" s="10">
        <v>15</v>
      </c>
      <c r="V513" s="10">
        <v>0</v>
      </c>
      <c r="W513" s="10">
        <v>0</v>
      </c>
      <c r="X513" s="10">
        <v>0</v>
      </c>
      <c r="Y513" s="10">
        <v>0</v>
      </c>
      <c r="Z513" s="10">
        <v>0.14000000000000001</v>
      </c>
      <c r="AA513" s="10">
        <v>0.06</v>
      </c>
      <c r="AB513" s="10">
        <v>0.14000000000000001</v>
      </c>
      <c r="AC513" s="10"/>
      <c r="AD513" s="2"/>
      <c r="AE513" s="1"/>
    </row>
    <row r="514" spans="1:31" hidden="1" x14ac:dyDescent="0.35">
      <c r="A514" s="15">
        <f t="shared" si="19"/>
        <v>2013</v>
      </c>
      <c r="B514" s="16">
        <v>20</v>
      </c>
      <c r="C514" s="13" t="s">
        <v>1019</v>
      </c>
      <c r="D514" s="10">
        <v>4</v>
      </c>
      <c r="E514" s="10">
        <v>4</v>
      </c>
      <c r="F514" s="10">
        <v>360</v>
      </c>
      <c r="G514" s="10">
        <v>4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0.1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0.02</v>
      </c>
      <c r="AB514" s="10">
        <v>0</v>
      </c>
      <c r="AC514" s="10"/>
      <c r="AD514" s="2"/>
      <c r="AE514" s="1"/>
    </row>
    <row r="515" spans="1:31" hidden="1" x14ac:dyDescent="0.35">
      <c r="A515" s="15">
        <f t="shared" si="19"/>
        <v>2014</v>
      </c>
      <c r="B515" s="16">
        <v>20</v>
      </c>
      <c r="C515" s="13" t="s">
        <v>1042</v>
      </c>
      <c r="D515" s="10">
        <v>3</v>
      </c>
      <c r="E515" s="10">
        <v>2</v>
      </c>
      <c r="F515" s="10">
        <v>130</v>
      </c>
      <c r="G515" s="10">
        <v>1.4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0.2</v>
      </c>
      <c r="S515" s="10">
        <v>1</v>
      </c>
      <c r="T515" s="10">
        <v>2</v>
      </c>
      <c r="U515" s="10">
        <v>9</v>
      </c>
      <c r="V515" s="10">
        <v>0</v>
      </c>
      <c r="W515" s="10">
        <v>0</v>
      </c>
      <c r="X515" s="10">
        <v>0</v>
      </c>
      <c r="Y515" s="10">
        <v>0</v>
      </c>
      <c r="Z515" s="10">
        <v>0.01</v>
      </c>
      <c r="AA515" s="10">
        <v>0.17</v>
      </c>
      <c r="AB515" s="10">
        <v>0.01</v>
      </c>
      <c r="AC515" s="10"/>
      <c r="AD515" s="2"/>
      <c r="AE515" s="1"/>
    </row>
    <row r="516" spans="1:31" hidden="1" x14ac:dyDescent="0.35">
      <c r="A516" s="15">
        <f t="shared" si="19"/>
        <v>2015</v>
      </c>
      <c r="B516" s="16">
        <v>20</v>
      </c>
      <c r="C516" s="13" t="s">
        <v>1017</v>
      </c>
      <c r="D516" s="10">
        <v>5</v>
      </c>
      <c r="E516" s="10">
        <v>5</v>
      </c>
      <c r="F516" s="10">
        <v>450</v>
      </c>
      <c r="G516" s="10">
        <v>5</v>
      </c>
      <c r="H516" s="10">
        <v>1</v>
      </c>
      <c r="I516" s="10">
        <v>0</v>
      </c>
      <c r="J516" s="10">
        <v>1</v>
      </c>
      <c r="K516" s="10">
        <v>1</v>
      </c>
      <c r="L516" s="10">
        <v>0</v>
      </c>
      <c r="M516" s="10">
        <v>0</v>
      </c>
      <c r="N516" s="10">
        <v>1</v>
      </c>
      <c r="O516" s="10">
        <v>0</v>
      </c>
      <c r="P516" s="10">
        <v>0.8</v>
      </c>
      <c r="Q516" s="10">
        <v>0.8</v>
      </c>
      <c r="R516" s="10">
        <v>0.2</v>
      </c>
      <c r="S516" s="10">
        <v>3</v>
      </c>
      <c r="T516" s="10">
        <v>24</v>
      </c>
      <c r="U516" s="10">
        <v>3</v>
      </c>
      <c r="V516" s="10">
        <v>0.2</v>
      </c>
      <c r="W516" s="10">
        <v>0</v>
      </c>
      <c r="X516" s="10">
        <v>0.2</v>
      </c>
      <c r="Y516" s="10">
        <v>0.2</v>
      </c>
      <c r="Z516" s="10">
        <v>0.16</v>
      </c>
      <c r="AA516" s="10">
        <v>0.04</v>
      </c>
      <c r="AB516" s="10">
        <v>0.16</v>
      </c>
      <c r="AC516" s="10"/>
      <c r="AD516" s="2"/>
      <c r="AE516" s="1"/>
    </row>
    <row r="517" spans="1:31" hidden="1" x14ac:dyDescent="0.35">
      <c r="A517" s="15">
        <f t="shared" si="19"/>
        <v>2016</v>
      </c>
      <c r="B517" s="16">
        <v>20</v>
      </c>
      <c r="C517" s="13" t="s">
        <v>1009</v>
      </c>
      <c r="D517" s="10">
        <v>8</v>
      </c>
      <c r="E517" s="10">
        <v>6</v>
      </c>
      <c r="F517" s="10">
        <v>609</v>
      </c>
      <c r="G517" s="10">
        <v>6.8</v>
      </c>
      <c r="H517" s="10">
        <v>0</v>
      </c>
      <c r="I517" s="10">
        <v>1</v>
      </c>
      <c r="J517" s="10">
        <v>1</v>
      </c>
      <c r="K517" s="10">
        <v>0</v>
      </c>
      <c r="L517" s="10">
        <v>0</v>
      </c>
      <c r="M517" s="10">
        <v>0</v>
      </c>
      <c r="N517" s="10">
        <v>1</v>
      </c>
      <c r="O517" s="10">
        <v>0</v>
      </c>
      <c r="P517" s="10">
        <v>0.7</v>
      </c>
      <c r="Q517" s="10">
        <v>0.7</v>
      </c>
      <c r="R517" s="10">
        <v>0.5</v>
      </c>
      <c r="S517" s="10">
        <v>5</v>
      </c>
      <c r="T517" s="10">
        <v>11</v>
      </c>
      <c r="U517" s="10">
        <v>25</v>
      </c>
      <c r="V517" s="10">
        <v>0</v>
      </c>
      <c r="W517" s="10">
        <v>0.15</v>
      </c>
      <c r="X517" s="10">
        <v>0.15</v>
      </c>
      <c r="Y517" s="10">
        <v>0</v>
      </c>
      <c r="Z517" s="10">
        <v>0.11</v>
      </c>
      <c r="AA517" s="10">
        <v>7.0000000000000007E-2</v>
      </c>
      <c r="AB517" s="10">
        <v>0.11</v>
      </c>
      <c r="AC517" s="10"/>
      <c r="AD517" s="2"/>
      <c r="AE517" s="1"/>
    </row>
    <row r="518" spans="1:31" hidden="1" x14ac:dyDescent="0.35">
      <c r="A518" s="15">
        <f t="shared" si="19"/>
        <v>2017</v>
      </c>
      <c r="B518" s="16">
        <v>20</v>
      </c>
      <c r="C518" s="13" t="s">
        <v>1033</v>
      </c>
      <c r="D518" s="10">
        <v>4</v>
      </c>
      <c r="E518" s="10">
        <v>4</v>
      </c>
      <c r="F518" s="10">
        <v>291</v>
      </c>
      <c r="G518" s="10">
        <v>3.2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3</v>
      </c>
      <c r="O518" s="10">
        <v>0</v>
      </c>
      <c r="P518" s="10">
        <v>0.1</v>
      </c>
      <c r="Q518" s="10">
        <v>0.1</v>
      </c>
      <c r="R518" s="10">
        <v>0.1</v>
      </c>
      <c r="S518" s="10">
        <v>1</v>
      </c>
      <c r="T518" s="10">
        <v>9</v>
      </c>
      <c r="U518" s="10">
        <v>3</v>
      </c>
      <c r="V518" s="10">
        <v>0</v>
      </c>
      <c r="W518" s="10">
        <v>0</v>
      </c>
      <c r="X518" s="10">
        <v>0</v>
      </c>
      <c r="Y518" s="10">
        <v>0</v>
      </c>
      <c r="Z518" s="10">
        <v>0.02</v>
      </c>
      <c r="AA518" s="10">
        <v>0.02</v>
      </c>
      <c r="AB518" s="10">
        <v>0.02</v>
      </c>
      <c r="AC518" s="10"/>
      <c r="AD518" s="2"/>
      <c r="AE518" s="1"/>
    </row>
    <row r="519" spans="1:31" hidden="1" x14ac:dyDescent="0.35">
      <c r="A519" s="15">
        <f t="shared" si="19"/>
        <v>2018</v>
      </c>
      <c r="B519" s="16">
        <v>20</v>
      </c>
      <c r="C519" s="13" t="s">
        <v>1035</v>
      </c>
      <c r="D519" s="10">
        <v>5</v>
      </c>
      <c r="E519" s="10">
        <v>3</v>
      </c>
      <c r="F519" s="10">
        <v>241</v>
      </c>
      <c r="G519" s="10">
        <v>2.7</v>
      </c>
      <c r="H519" s="10">
        <v>1</v>
      </c>
      <c r="I519" s="10">
        <v>0</v>
      </c>
      <c r="J519" s="10">
        <v>1</v>
      </c>
      <c r="K519" s="10">
        <v>1</v>
      </c>
      <c r="L519" s="10">
        <v>0</v>
      </c>
      <c r="M519" s="10">
        <v>0</v>
      </c>
      <c r="N519" s="10">
        <v>0</v>
      </c>
      <c r="O519" s="10">
        <v>0</v>
      </c>
      <c r="P519" s="10">
        <v>0.7</v>
      </c>
      <c r="Q519" s="10">
        <v>0.7</v>
      </c>
      <c r="R519" s="10">
        <v>0.1</v>
      </c>
      <c r="S519" s="10">
        <v>8</v>
      </c>
      <c r="T519" s="10">
        <v>4</v>
      </c>
      <c r="U519" s="10">
        <v>23</v>
      </c>
      <c r="V519" s="10">
        <v>0.37</v>
      </c>
      <c r="W519" s="10">
        <v>0</v>
      </c>
      <c r="X519" s="10">
        <v>0.37</v>
      </c>
      <c r="Y519" s="10">
        <v>0.37</v>
      </c>
      <c r="Z519" s="10">
        <v>0.27</v>
      </c>
      <c r="AA519" s="10">
        <v>0.03</v>
      </c>
      <c r="AB519" s="10">
        <v>0.27</v>
      </c>
      <c r="AC519" s="10"/>
      <c r="AD519" s="2"/>
      <c r="AE519" s="1"/>
    </row>
    <row r="520" spans="1:31" hidden="1" x14ac:dyDescent="0.35">
      <c r="A520" s="15">
        <f t="shared" si="19"/>
        <v>2019</v>
      </c>
      <c r="B520" s="16">
        <v>20</v>
      </c>
      <c r="C520" s="13" t="s">
        <v>1029</v>
      </c>
      <c r="D520" s="10">
        <v>4</v>
      </c>
      <c r="E520" s="10">
        <v>4</v>
      </c>
      <c r="F520" s="10">
        <v>360</v>
      </c>
      <c r="G520" s="10">
        <v>4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/>
      <c r="AD520" s="2"/>
      <c r="AE520" s="1"/>
    </row>
    <row r="521" spans="1:31" hidden="1" x14ac:dyDescent="0.35">
      <c r="A521" s="15">
        <f t="shared" si="19"/>
        <v>2020</v>
      </c>
      <c r="B521" s="16">
        <v>20</v>
      </c>
      <c r="C521" s="13" t="s">
        <v>1027</v>
      </c>
      <c r="D521" s="10">
        <v>5</v>
      </c>
      <c r="E521" s="10">
        <v>4</v>
      </c>
      <c r="F521" s="10">
        <v>395</v>
      </c>
      <c r="G521" s="10">
        <v>4.4000000000000004</v>
      </c>
      <c r="H521" s="10">
        <v>1</v>
      </c>
      <c r="I521" s="10">
        <v>0</v>
      </c>
      <c r="J521" s="10">
        <v>1</v>
      </c>
      <c r="K521" s="10">
        <v>1</v>
      </c>
      <c r="L521" s="10">
        <v>0</v>
      </c>
      <c r="M521" s="10">
        <v>0</v>
      </c>
      <c r="N521" s="10">
        <v>1</v>
      </c>
      <c r="O521" s="10">
        <v>0</v>
      </c>
      <c r="P521" s="10">
        <v>0.8</v>
      </c>
      <c r="Q521" s="10">
        <v>0.8</v>
      </c>
      <c r="R521" s="10">
        <v>0.1</v>
      </c>
      <c r="S521" s="10">
        <v>1</v>
      </c>
      <c r="T521" s="10">
        <v>14</v>
      </c>
      <c r="U521" s="10">
        <v>1</v>
      </c>
      <c r="V521" s="10">
        <v>0.23</v>
      </c>
      <c r="W521" s="10">
        <v>0</v>
      </c>
      <c r="X521" s="10">
        <v>0.23</v>
      </c>
      <c r="Y521" s="10">
        <v>0.23</v>
      </c>
      <c r="Z521" s="10">
        <v>0.17</v>
      </c>
      <c r="AA521" s="10">
        <v>0.01</v>
      </c>
      <c r="AB521" s="10">
        <v>0.17</v>
      </c>
      <c r="AC521" s="10"/>
      <c r="AD521" s="2"/>
      <c r="AE521" s="1"/>
    </row>
    <row r="522" spans="1:31" hidden="1" x14ac:dyDescent="0.35">
      <c r="A522" s="15">
        <f t="shared" si="19"/>
        <v>2021</v>
      </c>
      <c r="B522" s="16">
        <v>20</v>
      </c>
      <c r="C522" s="13" t="s">
        <v>1045</v>
      </c>
      <c r="D522" s="10">
        <v>1</v>
      </c>
      <c r="E522" s="10">
        <v>0</v>
      </c>
      <c r="F522" s="10">
        <v>15</v>
      </c>
      <c r="G522" s="10">
        <v>0.2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2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/>
      <c r="AD522" s="2"/>
      <c r="AE522" s="1"/>
    </row>
    <row r="523" spans="1:31" hidden="1" x14ac:dyDescent="0.35">
      <c r="A523" s="15">
        <f t="shared" si="19"/>
        <v>2022</v>
      </c>
      <c r="B523" s="16">
        <v>20</v>
      </c>
      <c r="C523" s="13" t="s">
        <v>1037</v>
      </c>
      <c r="D523" s="10">
        <v>5</v>
      </c>
      <c r="E523" s="10">
        <v>2</v>
      </c>
      <c r="F523" s="10">
        <v>178</v>
      </c>
      <c r="G523" s="10">
        <v>2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0.3</v>
      </c>
      <c r="Q523" s="10">
        <v>0.3</v>
      </c>
      <c r="R523" s="10">
        <v>0.1</v>
      </c>
      <c r="S523" s="10">
        <v>1</v>
      </c>
      <c r="T523" s="10">
        <v>0</v>
      </c>
      <c r="U523" s="10">
        <v>9</v>
      </c>
      <c r="V523" s="10">
        <v>0</v>
      </c>
      <c r="W523" s="10">
        <v>0</v>
      </c>
      <c r="X523" s="10">
        <v>0</v>
      </c>
      <c r="Y523" s="10">
        <v>0</v>
      </c>
      <c r="Z523" s="10">
        <v>0.17</v>
      </c>
      <c r="AA523" s="10">
        <v>7.0000000000000007E-2</v>
      </c>
      <c r="AB523" s="10">
        <v>0.17</v>
      </c>
      <c r="AC523" s="10"/>
      <c r="AD523" s="2"/>
      <c r="AE523" s="1"/>
    </row>
    <row r="524" spans="1:31" hidden="1" x14ac:dyDescent="0.35">
      <c r="A524" s="15">
        <f t="shared" si="19"/>
        <v>2023</v>
      </c>
      <c r="B524" s="16">
        <v>20</v>
      </c>
      <c r="C524" s="13" t="s">
        <v>1012</v>
      </c>
      <c r="D524" s="10">
        <v>6</v>
      </c>
      <c r="E524" s="10">
        <v>5</v>
      </c>
      <c r="F524" s="10">
        <v>390</v>
      </c>
      <c r="G524" s="10">
        <v>4.3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1</v>
      </c>
      <c r="O524" s="10">
        <v>1</v>
      </c>
      <c r="P524" s="10">
        <v>0</v>
      </c>
      <c r="Q524" s="10">
        <v>0</v>
      </c>
      <c r="R524" s="10">
        <v>0</v>
      </c>
      <c r="S524" s="10">
        <v>5</v>
      </c>
      <c r="T524" s="10">
        <v>10</v>
      </c>
      <c r="U524" s="10">
        <v>1</v>
      </c>
      <c r="V524" s="10">
        <v>0</v>
      </c>
      <c r="W524" s="10">
        <v>0</v>
      </c>
      <c r="X524" s="10">
        <v>0</v>
      </c>
      <c r="Y524" s="10">
        <v>0</v>
      </c>
      <c r="Z524" s="10">
        <v>0.01</v>
      </c>
      <c r="AA524" s="10">
        <v>0.01</v>
      </c>
      <c r="AB524" s="10">
        <v>0.01</v>
      </c>
      <c r="AC524" s="10"/>
      <c r="AD524" s="2"/>
      <c r="AE524" s="1"/>
    </row>
    <row r="525" spans="1:31" hidden="1" x14ac:dyDescent="0.35">
      <c r="A525" s="15">
        <f t="shared" si="19"/>
        <v>2024</v>
      </c>
      <c r="B525" s="16">
        <v>20</v>
      </c>
      <c r="C525" s="13" t="s">
        <v>1041</v>
      </c>
      <c r="D525" s="10">
        <v>3</v>
      </c>
      <c r="E525" s="10">
        <v>2</v>
      </c>
      <c r="F525" s="10">
        <v>137</v>
      </c>
      <c r="G525" s="10">
        <v>1.5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0.1</v>
      </c>
      <c r="Q525" s="10">
        <v>0.1</v>
      </c>
      <c r="R525" s="10">
        <v>0</v>
      </c>
      <c r="S525" s="10">
        <v>1</v>
      </c>
      <c r="T525" s="10">
        <v>0</v>
      </c>
      <c r="U525" s="10">
        <v>1</v>
      </c>
      <c r="V525" s="10">
        <v>0</v>
      </c>
      <c r="W525" s="10">
        <v>0</v>
      </c>
      <c r="X525" s="10">
        <v>0</v>
      </c>
      <c r="Y525" s="10">
        <v>0</v>
      </c>
      <c r="Z525" s="10">
        <v>0.03</v>
      </c>
      <c r="AA525" s="10">
        <v>0</v>
      </c>
      <c r="AB525" s="10">
        <v>0.03</v>
      </c>
      <c r="AC525" s="10"/>
      <c r="AD525" s="2"/>
      <c r="AE525" s="1"/>
    </row>
    <row r="526" spans="1:31" x14ac:dyDescent="0.35">
      <c r="A526" s="31"/>
      <c r="C526" s="32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2"/>
      <c r="AE526" s="1"/>
    </row>
    <row r="527" spans="1:31" x14ac:dyDescent="0.35">
      <c r="A527" s="1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1"/>
    </row>
  </sheetData>
  <autoFilter ref="A1:AB525" xr:uid="{E37BF1ED-5C57-4817-ACF0-870CB9A81433}">
    <filterColumn colId="1">
      <filters>
        <filter val="1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9B6DB-EB07-4AF6-B9E9-FF761EAC9991}">
  <dimension ref="A1:O21"/>
  <sheetViews>
    <sheetView workbookViewId="0">
      <selection activeCell="D31" sqref="D31"/>
    </sheetView>
  </sheetViews>
  <sheetFormatPr defaultRowHeight="14.5" x14ac:dyDescent="0.35"/>
  <cols>
    <col min="3" max="7" width="8.7265625" customWidth="1"/>
  </cols>
  <sheetData>
    <row r="1" spans="1:15" x14ac:dyDescent="0.35">
      <c r="A1" s="2" t="s">
        <v>1128</v>
      </c>
      <c r="B1" s="2" t="s">
        <v>1130</v>
      </c>
      <c r="C1" s="19" t="s">
        <v>1133</v>
      </c>
      <c r="D1" s="2" t="s">
        <v>64</v>
      </c>
      <c r="E1" s="2" t="s">
        <v>1134</v>
      </c>
      <c r="F1" s="2" t="s">
        <v>1135</v>
      </c>
      <c r="G1" s="2" t="s">
        <v>1136</v>
      </c>
      <c r="H1" s="2" t="s">
        <v>67</v>
      </c>
      <c r="I1" s="2" t="s">
        <v>69</v>
      </c>
      <c r="J1" s="2" t="s">
        <v>5</v>
      </c>
      <c r="K1" s="2" t="s">
        <v>6</v>
      </c>
      <c r="L1" s="2" t="s">
        <v>1198</v>
      </c>
      <c r="M1" s="2" t="s">
        <v>1199</v>
      </c>
      <c r="N1" s="2" t="s">
        <v>1137</v>
      </c>
      <c r="O1" s="19" t="s">
        <v>1138</v>
      </c>
    </row>
    <row r="2" spans="1:15" x14ac:dyDescent="0.35">
      <c r="A2" s="2">
        <v>1</v>
      </c>
      <c r="B2" s="2" t="s">
        <v>61</v>
      </c>
      <c r="C2" s="20">
        <v>0.58299999999999996</v>
      </c>
      <c r="D2" s="21">
        <v>15</v>
      </c>
      <c r="E2" s="21">
        <v>13</v>
      </c>
      <c r="F2" s="22">
        <f>D2-E2</f>
        <v>2</v>
      </c>
      <c r="G2" s="21">
        <v>2</v>
      </c>
      <c r="H2" s="21">
        <v>9</v>
      </c>
      <c r="I2" s="21">
        <v>0</v>
      </c>
      <c r="J2" s="21">
        <v>13.6</v>
      </c>
      <c r="K2" s="21">
        <v>12.1</v>
      </c>
      <c r="L2" s="21">
        <v>173</v>
      </c>
      <c r="M2" s="21">
        <v>361</v>
      </c>
      <c r="N2" s="21">
        <v>73</v>
      </c>
      <c r="O2" s="23">
        <v>0.83099999999999996</v>
      </c>
    </row>
    <row r="3" spans="1:15" x14ac:dyDescent="0.35">
      <c r="A3" s="2">
        <v>2</v>
      </c>
      <c r="B3" s="2" t="s">
        <v>126</v>
      </c>
      <c r="C3" s="20">
        <v>0.55900000000000005</v>
      </c>
      <c r="D3" s="21">
        <v>8</v>
      </c>
      <c r="E3" s="21">
        <v>8</v>
      </c>
      <c r="F3" s="22">
        <f t="shared" ref="F3:F21" si="0">D3-E3</f>
        <v>0</v>
      </c>
      <c r="G3" s="21">
        <v>0</v>
      </c>
      <c r="H3" s="21">
        <v>13</v>
      </c>
      <c r="I3" s="21">
        <v>1</v>
      </c>
      <c r="J3" s="21">
        <v>6.3</v>
      </c>
      <c r="K3" s="21">
        <v>6.3</v>
      </c>
      <c r="L3" s="21">
        <v>119</v>
      </c>
      <c r="M3" s="21">
        <v>308</v>
      </c>
      <c r="N3" s="21">
        <v>69</v>
      </c>
      <c r="O3" s="23">
        <v>0.82699999999999996</v>
      </c>
    </row>
    <row r="4" spans="1:15" x14ac:dyDescent="0.35">
      <c r="A4" s="2">
        <v>3</v>
      </c>
      <c r="B4" s="2" t="s">
        <v>1131</v>
      </c>
      <c r="C4" s="20">
        <v>0.505</v>
      </c>
      <c r="D4" s="21">
        <v>14</v>
      </c>
      <c r="E4" s="21">
        <v>13</v>
      </c>
      <c r="F4" s="22">
        <f t="shared" si="0"/>
        <v>1</v>
      </c>
      <c r="G4" s="21">
        <v>1</v>
      </c>
      <c r="H4" s="21">
        <v>20</v>
      </c>
      <c r="I4" s="21">
        <v>0</v>
      </c>
      <c r="J4" s="21">
        <v>10.4</v>
      </c>
      <c r="K4" s="21">
        <v>9.6</v>
      </c>
      <c r="L4" s="21">
        <v>138</v>
      </c>
      <c r="M4" s="21">
        <v>293</v>
      </c>
      <c r="N4" s="21">
        <v>81</v>
      </c>
      <c r="O4" s="23">
        <v>0.77300000000000002</v>
      </c>
    </row>
    <row r="5" spans="1:15" x14ac:dyDescent="0.35">
      <c r="A5" s="2">
        <v>4</v>
      </c>
      <c r="B5" s="2" t="s">
        <v>232</v>
      </c>
      <c r="C5" s="20">
        <v>0.41299999999999998</v>
      </c>
      <c r="D5" s="21">
        <v>11</v>
      </c>
      <c r="E5" s="21">
        <v>10</v>
      </c>
      <c r="F5" s="22">
        <f t="shared" si="0"/>
        <v>1</v>
      </c>
      <c r="G5" s="21">
        <v>2</v>
      </c>
      <c r="H5" s="21">
        <v>15</v>
      </c>
      <c r="I5" s="21">
        <v>0</v>
      </c>
      <c r="J5" s="21">
        <v>10.7</v>
      </c>
      <c r="K5" s="21">
        <v>9.1</v>
      </c>
      <c r="L5" s="21">
        <v>103</v>
      </c>
      <c r="M5" s="21">
        <v>195</v>
      </c>
      <c r="N5" s="21">
        <v>70</v>
      </c>
      <c r="O5" s="23">
        <v>0.75800000000000001</v>
      </c>
    </row>
    <row r="6" spans="1:15" x14ac:dyDescent="0.35">
      <c r="A6" s="2">
        <v>5</v>
      </c>
      <c r="B6" s="2" t="s">
        <v>280</v>
      </c>
      <c r="C6" s="20">
        <v>0.46800000000000003</v>
      </c>
      <c r="D6" s="21">
        <v>12</v>
      </c>
      <c r="E6" s="21">
        <v>10</v>
      </c>
      <c r="F6" s="22">
        <f t="shared" si="0"/>
        <v>2</v>
      </c>
      <c r="G6" s="21">
        <v>3</v>
      </c>
      <c r="H6" s="21">
        <v>22</v>
      </c>
      <c r="I6" s="21">
        <v>0</v>
      </c>
      <c r="J6" s="21">
        <v>12.1</v>
      </c>
      <c r="K6" s="21">
        <v>9.8000000000000007</v>
      </c>
      <c r="L6" s="21">
        <v>148</v>
      </c>
      <c r="M6" s="21">
        <v>276</v>
      </c>
      <c r="N6" s="21">
        <v>100</v>
      </c>
      <c r="O6" s="23">
        <v>0.80200000000000005</v>
      </c>
    </row>
    <row r="7" spans="1:15" x14ac:dyDescent="0.35">
      <c r="A7" s="2">
        <v>6</v>
      </c>
      <c r="B7" s="2" t="s">
        <v>330</v>
      </c>
      <c r="C7" s="20">
        <v>0.35099999999999998</v>
      </c>
      <c r="D7" s="21">
        <v>9</v>
      </c>
      <c r="E7" s="21">
        <v>9</v>
      </c>
      <c r="F7" s="22">
        <f t="shared" si="0"/>
        <v>0</v>
      </c>
      <c r="G7" s="21">
        <v>0</v>
      </c>
      <c r="H7" s="21">
        <v>14</v>
      </c>
      <c r="I7" s="21">
        <v>1</v>
      </c>
      <c r="J7" s="21">
        <v>5.4</v>
      </c>
      <c r="K7" s="21">
        <v>5.4</v>
      </c>
      <c r="L7" s="21">
        <v>60</v>
      </c>
      <c r="M7" s="21">
        <v>174</v>
      </c>
      <c r="N7" s="21">
        <v>75</v>
      </c>
      <c r="O7" s="23">
        <v>0.73199999999999998</v>
      </c>
    </row>
    <row r="8" spans="1:15" x14ac:dyDescent="0.35">
      <c r="A8" s="2">
        <v>7</v>
      </c>
      <c r="B8" s="2" t="s">
        <v>385</v>
      </c>
      <c r="C8" s="20">
        <v>0.58599999999999997</v>
      </c>
      <c r="D8" s="21">
        <v>16</v>
      </c>
      <c r="E8" s="21">
        <v>15</v>
      </c>
      <c r="F8" s="22">
        <f t="shared" si="0"/>
        <v>1</v>
      </c>
      <c r="G8" s="21">
        <v>1</v>
      </c>
      <c r="H8" s="21">
        <v>19</v>
      </c>
      <c r="I8" s="21">
        <v>3</v>
      </c>
      <c r="J8" s="21">
        <v>12.5</v>
      </c>
      <c r="K8" s="21">
        <v>11.8</v>
      </c>
      <c r="L8" s="21">
        <v>159</v>
      </c>
      <c r="M8" s="21">
        <v>312</v>
      </c>
      <c r="N8" s="21">
        <v>81</v>
      </c>
      <c r="O8" s="23">
        <v>0.84699999999999998</v>
      </c>
    </row>
    <row r="9" spans="1:15" x14ac:dyDescent="0.35">
      <c r="A9" s="2">
        <v>8</v>
      </c>
      <c r="B9" s="2" t="s">
        <v>438</v>
      </c>
      <c r="C9" s="20">
        <v>0.42599999999999999</v>
      </c>
      <c r="D9" s="21">
        <v>12</v>
      </c>
      <c r="E9" s="21">
        <v>10</v>
      </c>
      <c r="F9" s="22">
        <f t="shared" si="0"/>
        <v>2</v>
      </c>
      <c r="G9" s="21">
        <v>2</v>
      </c>
      <c r="H9" s="21">
        <v>18</v>
      </c>
      <c r="I9" s="21">
        <v>0</v>
      </c>
      <c r="J9" s="21">
        <v>17.100000000000001</v>
      </c>
      <c r="K9" s="21">
        <v>15.6</v>
      </c>
      <c r="L9" s="21">
        <v>89</v>
      </c>
      <c r="M9" s="21">
        <v>251</v>
      </c>
      <c r="N9" s="21">
        <v>107</v>
      </c>
      <c r="O9" s="23">
        <v>0.76600000000000001</v>
      </c>
    </row>
    <row r="10" spans="1:15" x14ac:dyDescent="0.35">
      <c r="A10" s="2">
        <v>9</v>
      </c>
      <c r="B10" s="2" t="s">
        <v>493</v>
      </c>
      <c r="C10" s="20">
        <v>0.441</v>
      </c>
      <c r="D10" s="21">
        <v>9</v>
      </c>
      <c r="E10" s="21">
        <v>8</v>
      </c>
      <c r="F10" s="22">
        <f t="shared" si="0"/>
        <v>1</v>
      </c>
      <c r="G10" s="21">
        <v>1</v>
      </c>
      <c r="H10" s="21">
        <v>20</v>
      </c>
      <c r="I10" s="21">
        <v>0</v>
      </c>
      <c r="J10" s="21">
        <v>10.8</v>
      </c>
      <c r="K10" s="21">
        <v>10</v>
      </c>
      <c r="L10" s="21">
        <v>121</v>
      </c>
      <c r="M10" s="21">
        <v>261</v>
      </c>
      <c r="N10" s="21">
        <v>87</v>
      </c>
      <c r="O10" s="23">
        <v>0.76700000000000002</v>
      </c>
    </row>
    <row r="11" spans="1:15" x14ac:dyDescent="0.35">
      <c r="A11" s="2">
        <v>10</v>
      </c>
      <c r="B11" s="2" t="s">
        <v>543</v>
      </c>
      <c r="C11" s="20">
        <v>0.48899999999999999</v>
      </c>
      <c r="D11" s="21">
        <v>6</v>
      </c>
      <c r="E11" s="21">
        <v>6</v>
      </c>
      <c r="F11" s="22">
        <f t="shared" si="0"/>
        <v>0</v>
      </c>
      <c r="G11" s="21">
        <v>0</v>
      </c>
      <c r="H11" s="21">
        <v>16</v>
      </c>
      <c r="I11" s="21">
        <v>0</v>
      </c>
      <c r="J11" s="21">
        <v>7.7</v>
      </c>
      <c r="K11" s="21">
        <v>7.7</v>
      </c>
      <c r="L11" s="21">
        <v>143</v>
      </c>
      <c r="M11" s="21">
        <v>273</v>
      </c>
      <c r="N11" s="21">
        <v>82</v>
      </c>
      <c r="O11" s="23">
        <v>0.80100000000000005</v>
      </c>
    </row>
    <row r="12" spans="1:15" x14ac:dyDescent="0.35">
      <c r="A12" s="2">
        <v>11</v>
      </c>
      <c r="B12" s="2" t="s">
        <v>595</v>
      </c>
      <c r="C12" s="20">
        <v>0.48099999999999998</v>
      </c>
      <c r="D12" s="21">
        <v>7</v>
      </c>
      <c r="E12" s="21">
        <v>6</v>
      </c>
      <c r="F12" s="22">
        <f t="shared" si="0"/>
        <v>1</v>
      </c>
      <c r="G12" s="21">
        <v>1</v>
      </c>
      <c r="H12" s="21">
        <v>11</v>
      </c>
      <c r="I12" s="21">
        <v>0</v>
      </c>
      <c r="J12" s="21">
        <v>10</v>
      </c>
      <c r="K12" s="21">
        <v>9.3000000000000007</v>
      </c>
      <c r="L12" s="21">
        <v>127</v>
      </c>
      <c r="M12" s="21">
        <v>258</v>
      </c>
      <c r="N12" s="21">
        <v>90</v>
      </c>
      <c r="O12" s="23">
        <v>0.79800000000000004</v>
      </c>
    </row>
    <row r="13" spans="1:15" x14ac:dyDescent="0.35">
      <c r="A13" s="2">
        <v>12</v>
      </c>
      <c r="B13" s="2" t="s">
        <v>642</v>
      </c>
      <c r="C13" s="20">
        <v>0.61899999999999999</v>
      </c>
      <c r="D13" s="21">
        <v>14</v>
      </c>
      <c r="E13" s="21">
        <v>13</v>
      </c>
      <c r="F13" s="22">
        <f t="shared" si="0"/>
        <v>1</v>
      </c>
      <c r="G13" s="21">
        <v>1</v>
      </c>
      <c r="H13" s="21">
        <v>15</v>
      </c>
      <c r="I13" s="21">
        <v>0</v>
      </c>
      <c r="J13" s="21">
        <v>13.6</v>
      </c>
      <c r="K13" s="21">
        <v>12.8</v>
      </c>
      <c r="L13" s="21">
        <v>205</v>
      </c>
      <c r="M13" s="21">
        <v>401</v>
      </c>
      <c r="N13" s="21">
        <v>68</v>
      </c>
      <c r="O13" s="23">
        <v>0.82799999999999996</v>
      </c>
    </row>
    <row r="14" spans="1:15" x14ac:dyDescent="0.35">
      <c r="A14" s="2">
        <v>13</v>
      </c>
      <c r="B14" s="2" t="s">
        <v>702</v>
      </c>
      <c r="C14" s="20">
        <v>0.58799999999999997</v>
      </c>
      <c r="D14" s="21">
        <v>15</v>
      </c>
      <c r="E14" s="21">
        <v>15</v>
      </c>
      <c r="F14" s="22">
        <f t="shared" si="0"/>
        <v>0</v>
      </c>
      <c r="G14" s="21">
        <v>0</v>
      </c>
      <c r="H14" s="21">
        <v>10</v>
      </c>
      <c r="I14" s="21">
        <v>0</v>
      </c>
      <c r="J14" s="21">
        <v>14.4</v>
      </c>
      <c r="K14" s="21">
        <v>14.4</v>
      </c>
      <c r="L14" s="21">
        <v>205</v>
      </c>
      <c r="M14" s="21">
        <v>322</v>
      </c>
      <c r="N14" s="21">
        <v>69</v>
      </c>
      <c r="O14" s="23">
        <v>0.86599999999999999</v>
      </c>
    </row>
    <row r="15" spans="1:15" x14ac:dyDescent="0.35">
      <c r="A15" s="2">
        <v>14</v>
      </c>
      <c r="B15" s="2" t="s">
        <v>749</v>
      </c>
      <c r="C15" s="20">
        <v>0.50900000000000001</v>
      </c>
      <c r="D15" s="21">
        <v>9</v>
      </c>
      <c r="E15" s="21">
        <v>8</v>
      </c>
      <c r="F15" s="22">
        <f t="shared" si="0"/>
        <v>1</v>
      </c>
      <c r="G15" s="21">
        <v>3</v>
      </c>
      <c r="H15" s="21">
        <v>10</v>
      </c>
      <c r="I15" s="21">
        <v>1</v>
      </c>
      <c r="J15" s="21">
        <v>14.9</v>
      </c>
      <c r="K15" s="21">
        <v>12.6</v>
      </c>
      <c r="L15" s="21">
        <v>154</v>
      </c>
      <c r="M15" s="21">
        <v>312</v>
      </c>
      <c r="N15" s="21">
        <v>90</v>
      </c>
      <c r="O15" s="23">
        <v>0.78100000000000003</v>
      </c>
    </row>
    <row r="16" spans="1:15" x14ac:dyDescent="0.35">
      <c r="A16" s="2">
        <v>15</v>
      </c>
      <c r="B16" s="2" t="s">
        <v>796</v>
      </c>
      <c r="C16" s="20">
        <v>0.5</v>
      </c>
      <c r="D16" s="21">
        <v>7</v>
      </c>
      <c r="E16" s="21">
        <v>6</v>
      </c>
      <c r="F16" s="22">
        <f t="shared" si="0"/>
        <v>1</v>
      </c>
      <c r="G16" s="21">
        <v>1</v>
      </c>
      <c r="H16" s="21">
        <v>9</v>
      </c>
      <c r="I16" s="21">
        <v>1</v>
      </c>
      <c r="J16" s="21">
        <v>9.8000000000000007</v>
      </c>
      <c r="K16" s="21">
        <v>9</v>
      </c>
      <c r="L16" s="21">
        <v>127</v>
      </c>
      <c r="M16" s="21">
        <v>350</v>
      </c>
      <c r="N16" s="21">
        <v>65</v>
      </c>
      <c r="O16" s="23">
        <v>0.77500000000000002</v>
      </c>
    </row>
    <row r="17" spans="1:15" x14ac:dyDescent="0.35">
      <c r="A17" s="2">
        <v>16</v>
      </c>
      <c r="B17" s="2" t="s">
        <v>854</v>
      </c>
      <c r="C17" s="20">
        <v>0.55300000000000005</v>
      </c>
      <c r="D17" s="21">
        <v>5</v>
      </c>
      <c r="E17" s="21">
        <v>5</v>
      </c>
      <c r="F17" s="22">
        <f t="shared" si="0"/>
        <v>0</v>
      </c>
      <c r="G17" s="21">
        <v>0</v>
      </c>
      <c r="H17" s="21">
        <v>16</v>
      </c>
      <c r="I17" s="21">
        <v>0</v>
      </c>
      <c r="J17" s="21">
        <v>8.6999999999999993</v>
      </c>
      <c r="K17" s="21">
        <v>8.6999999999999993</v>
      </c>
      <c r="L17" s="21">
        <v>154</v>
      </c>
      <c r="M17" s="21">
        <v>377</v>
      </c>
      <c r="N17" s="21">
        <v>69</v>
      </c>
      <c r="O17" s="23">
        <v>0.82699999999999996</v>
      </c>
    </row>
    <row r="18" spans="1:15" x14ac:dyDescent="0.35">
      <c r="A18" s="2">
        <v>17</v>
      </c>
      <c r="B18" s="2" t="s">
        <v>903</v>
      </c>
      <c r="C18" s="20">
        <v>0.436</v>
      </c>
      <c r="D18" s="21">
        <v>8</v>
      </c>
      <c r="E18" s="21">
        <v>7</v>
      </c>
      <c r="F18" s="22">
        <f t="shared" si="0"/>
        <v>1</v>
      </c>
      <c r="G18" s="21">
        <v>1</v>
      </c>
      <c r="H18" s="21">
        <v>13</v>
      </c>
      <c r="I18" s="21">
        <v>1</v>
      </c>
      <c r="J18" s="21">
        <v>7.4</v>
      </c>
      <c r="K18" s="21">
        <v>6.6</v>
      </c>
      <c r="L18" s="21">
        <v>95</v>
      </c>
      <c r="M18" s="21">
        <v>227</v>
      </c>
      <c r="N18" s="21">
        <v>74</v>
      </c>
      <c r="O18" s="23">
        <v>0.76600000000000001</v>
      </c>
    </row>
    <row r="19" spans="1:15" x14ac:dyDescent="0.35">
      <c r="A19" s="2">
        <v>18</v>
      </c>
      <c r="B19" s="2" t="s">
        <v>952</v>
      </c>
      <c r="C19" s="20">
        <v>0.55300000000000005</v>
      </c>
      <c r="D19" s="21">
        <v>13</v>
      </c>
      <c r="E19" s="21">
        <v>13</v>
      </c>
      <c r="F19" s="22">
        <f t="shared" si="0"/>
        <v>0</v>
      </c>
      <c r="G19" s="21">
        <v>0</v>
      </c>
      <c r="H19" s="21">
        <v>17</v>
      </c>
      <c r="I19" s="21">
        <v>0</v>
      </c>
      <c r="J19" s="21">
        <v>8.1999999999999993</v>
      </c>
      <c r="K19" s="21">
        <v>8.1999999999999993</v>
      </c>
      <c r="L19" s="21">
        <v>153</v>
      </c>
      <c r="M19" s="21">
        <v>303</v>
      </c>
      <c r="N19" s="21">
        <v>91</v>
      </c>
      <c r="O19" s="23">
        <v>0.81200000000000006</v>
      </c>
    </row>
    <row r="20" spans="1:15" x14ac:dyDescent="0.35">
      <c r="A20" s="2">
        <v>19</v>
      </c>
      <c r="B20" s="2" t="s">
        <v>1132</v>
      </c>
      <c r="C20" s="20">
        <v>0.45800000000000002</v>
      </c>
      <c r="D20" s="21">
        <v>6</v>
      </c>
      <c r="E20" s="21">
        <v>5</v>
      </c>
      <c r="F20" s="22">
        <f t="shared" si="0"/>
        <v>1</v>
      </c>
      <c r="G20" s="21">
        <v>1</v>
      </c>
      <c r="H20" s="21">
        <v>11</v>
      </c>
      <c r="I20" s="21">
        <v>1</v>
      </c>
      <c r="J20" s="21">
        <v>6.9</v>
      </c>
      <c r="K20" s="21">
        <v>6.2</v>
      </c>
      <c r="L20" s="21">
        <v>92</v>
      </c>
      <c r="M20" s="21">
        <v>251</v>
      </c>
      <c r="N20" s="21">
        <v>63</v>
      </c>
      <c r="O20" s="23">
        <v>0.79600000000000004</v>
      </c>
    </row>
    <row r="21" spans="1:15" x14ac:dyDescent="0.35">
      <c r="A21" s="2">
        <v>20</v>
      </c>
      <c r="B21" s="2" t="s">
        <v>1049</v>
      </c>
      <c r="C21" s="20">
        <v>0.48599999999999999</v>
      </c>
      <c r="D21" s="21">
        <v>4</v>
      </c>
      <c r="E21" s="21">
        <v>4</v>
      </c>
      <c r="F21" s="22">
        <f t="shared" si="0"/>
        <v>0</v>
      </c>
      <c r="G21" s="21">
        <v>0</v>
      </c>
      <c r="H21" s="21">
        <v>14</v>
      </c>
      <c r="I21" s="21">
        <v>1</v>
      </c>
      <c r="J21" s="21">
        <v>6.9</v>
      </c>
      <c r="K21" s="21">
        <v>6.9</v>
      </c>
      <c r="L21" s="21">
        <v>101</v>
      </c>
      <c r="M21" s="21">
        <v>245</v>
      </c>
      <c r="N21" s="21">
        <v>106</v>
      </c>
      <c r="O21" s="23">
        <v>0.78300000000000003</v>
      </c>
    </row>
  </sheetData>
  <autoFilter ref="A1:O21" xr:uid="{6599B6DB-EB07-4AF6-B9E9-FF761EAC999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7FA4-0DAF-4D9D-9C93-E3852E7D0204}">
  <dimension ref="A1:E181"/>
  <sheetViews>
    <sheetView workbookViewId="0">
      <selection activeCell="K164" sqref="K164"/>
    </sheetView>
  </sheetViews>
  <sheetFormatPr defaultRowHeight="14.5" x14ac:dyDescent="0.35"/>
  <cols>
    <col min="1" max="1" width="15.453125" customWidth="1"/>
    <col min="3" max="3" width="27.26953125" customWidth="1"/>
    <col min="7" max="7" width="26.36328125" bestFit="1" customWidth="1"/>
    <col min="8" max="8" width="14.81640625" bestFit="1" customWidth="1"/>
    <col min="9" max="13" width="1.81640625" bestFit="1" customWidth="1"/>
    <col min="14" max="14" width="26.36328125" bestFit="1" customWidth="1"/>
    <col min="15" max="15" width="14.81640625" bestFit="1" customWidth="1"/>
    <col min="16" max="16" width="1.81640625" bestFit="1" customWidth="1"/>
    <col min="17" max="27" width="2.81640625" bestFit="1" customWidth="1"/>
    <col min="28" max="28" width="10.7265625" bestFit="1" customWidth="1"/>
  </cols>
  <sheetData>
    <row r="1" spans="1:5" x14ac:dyDescent="0.35">
      <c r="A1" t="s">
        <v>1139</v>
      </c>
      <c r="B1" t="s">
        <v>1128</v>
      </c>
      <c r="C1" t="s">
        <v>1130</v>
      </c>
      <c r="D1" t="s">
        <v>1140</v>
      </c>
      <c r="E1" t="s">
        <v>1141</v>
      </c>
    </row>
    <row r="2" spans="1:5" x14ac:dyDescent="0.35">
      <c r="A2" s="24" t="s">
        <v>1142</v>
      </c>
      <c r="B2" s="24">
        <v>1</v>
      </c>
      <c r="C2" s="25" t="s">
        <v>61</v>
      </c>
      <c r="D2">
        <v>1</v>
      </c>
      <c r="E2">
        <v>0</v>
      </c>
    </row>
    <row r="3" spans="1:5" x14ac:dyDescent="0.35">
      <c r="A3" s="24" t="s">
        <v>1142</v>
      </c>
      <c r="B3" s="24">
        <v>2</v>
      </c>
      <c r="C3" s="25" t="s">
        <v>126</v>
      </c>
      <c r="D3">
        <v>2</v>
      </c>
      <c r="E3">
        <v>0</v>
      </c>
    </row>
    <row r="4" spans="1:5" x14ac:dyDescent="0.35">
      <c r="A4" s="24" t="s">
        <v>1142</v>
      </c>
      <c r="B4" s="24">
        <v>3</v>
      </c>
      <c r="C4" s="25" t="s">
        <v>1131</v>
      </c>
      <c r="D4">
        <v>3</v>
      </c>
      <c r="E4">
        <v>0</v>
      </c>
    </row>
    <row r="5" spans="1:5" x14ac:dyDescent="0.35">
      <c r="A5" s="24" t="s">
        <v>1142</v>
      </c>
      <c r="B5" s="24">
        <v>4</v>
      </c>
      <c r="C5" s="25" t="s">
        <v>232</v>
      </c>
      <c r="D5">
        <v>4</v>
      </c>
      <c r="E5">
        <v>0</v>
      </c>
    </row>
    <row r="6" spans="1:5" x14ac:dyDescent="0.35">
      <c r="A6" s="24" t="s">
        <v>1142</v>
      </c>
      <c r="B6" s="24">
        <v>5</v>
      </c>
      <c r="C6" s="25" t="s">
        <v>1143</v>
      </c>
      <c r="D6">
        <v>5</v>
      </c>
      <c r="E6">
        <v>0</v>
      </c>
    </row>
    <row r="7" spans="1:5" x14ac:dyDescent="0.35">
      <c r="A7" s="24" t="s">
        <v>1142</v>
      </c>
      <c r="B7" s="24">
        <v>6</v>
      </c>
      <c r="C7" s="25" t="s">
        <v>330</v>
      </c>
      <c r="D7">
        <v>6</v>
      </c>
      <c r="E7">
        <v>0</v>
      </c>
    </row>
    <row r="8" spans="1:5" x14ac:dyDescent="0.35">
      <c r="A8" s="24" t="s">
        <v>1142</v>
      </c>
      <c r="B8" s="24">
        <v>7</v>
      </c>
      <c r="C8" s="25" t="s">
        <v>385</v>
      </c>
      <c r="D8">
        <v>7</v>
      </c>
      <c r="E8">
        <v>0</v>
      </c>
    </row>
    <row r="9" spans="1:5" x14ac:dyDescent="0.35">
      <c r="A9" s="24" t="s">
        <v>1142</v>
      </c>
      <c r="B9" s="24">
        <v>8</v>
      </c>
      <c r="C9" s="25" t="s">
        <v>438</v>
      </c>
      <c r="D9">
        <v>8</v>
      </c>
      <c r="E9">
        <v>0</v>
      </c>
    </row>
    <row r="10" spans="1:5" x14ac:dyDescent="0.35">
      <c r="A10" s="24" t="s">
        <v>1142</v>
      </c>
      <c r="B10" s="24">
        <v>9</v>
      </c>
      <c r="C10" s="25" t="s">
        <v>493</v>
      </c>
      <c r="D10">
        <v>9</v>
      </c>
      <c r="E10">
        <v>0</v>
      </c>
    </row>
    <row r="11" spans="1:5" x14ac:dyDescent="0.35">
      <c r="A11" s="24" t="s">
        <v>1142</v>
      </c>
      <c r="B11" s="24">
        <v>10</v>
      </c>
      <c r="C11" s="25" t="s">
        <v>543</v>
      </c>
      <c r="D11">
        <v>10</v>
      </c>
      <c r="E11">
        <v>0</v>
      </c>
    </row>
    <row r="12" spans="1:5" x14ac:dyDescent="0.35">
      <c r="A12" s="24" t="s">
        <v>1142</v>
      </c>
      <c r="B12" s="24">
        <v>11</v>
      </c>
      <c r="C12" s="25" t="s">
        <v>595</v>
      </c>
      <c r="D12">
        <v>11</v>
      </c>
      <c r="E12">
        <v>0</v>
      </c>
    </row>
    <row r="13" spans="1:5" x14ac:dyDescent="0.35">
      <c r="A13" s="24" t="s">
        <v>1142</v>
      </c>
      <c r="B13" s="24">
        <v>12</v>
      </c>
      <c r="C13" s="25" t="s">
        <v>642</v>
      </c>
      <c r="D13">
        <v>12</v>
      </c>
      <c r="E13">
        <v>0</v>
      </c>
    </row>
    <row r="14" spans="1:5" x14ac:dyDescent="0.35">
      <c r="A14" s="24" t="s">
        <v>1142</v>
      </c>
      <c r="B14" s="24">
        <v>13</v>
      </c>
      <c r="C14" s="25" t="s">
        <v>702</v>
      </c>
      <c r="D14">
        <v>13</v>
      </c>
      <c r="E14">
        <v>0</v>
      </c>
    </row>
    <row r="15" spans="1:5" x14ac:dyDescent="0.35">
      <c r="A15" s="24" t="s">
        <v>1142</v>
      </c>
      <c r="B15" s="24">
        <v>14</v>
      </c>
      <c r="C15" s="25" t="s">
        <v>749</v>
      </c>
      <c r="D15">
        <v>14</v>
      </c>
      <c r="E15">
        <v>0</v>
      </c>
    </row>
    <row r="16" spans="1:5" x14ac:dyDescent="0.35">
      <c r="A16" s="24" t="s">
        <v>1142</v>
      </c>
      <c r="B16" s="24">
        <v>15</v>
      </c>
      <c r="C16" s="25" t="s">
        <v>796</v>
      </c>
      <c r="D16">
        <v>15</v>
      </c>
      <c r="E16">
        <v>0</v>
      </c>
    </row>
    <row r="17" spans="1:5" x14ac:dyDescent="0.35">
      <c r="A17" s="24" t="s">
        <v>1142</v>
      </c>
      <c r="B17" s="24">
        <v>16</v>
      </c>
      <c r="C17" s="25" t="s">
        <v>854</v>
      </c>
      <c r="D17">
        <v>16</v>
      </c>
      <c r="E17">
        <v>0</v>
      </c>
    </row>
    <row r="18" spans="1:5" x14ac:dyDescent="0.35">
      <c r="A18" s="24" t="s">
        <v>1142</v>
      </c>
      <c r="B18" s="24">
        <v>17</v>
      </c>
      <c r="C18" s="25" t="s">
        <v>903</v>
      </c>
      <c r="D18">
        <v>17</v>
      </c>
      <c r="E18">
        <v>0</v>
      </c>
    </row>
    <row r="19" spans="1:5" x14ac:dyDescent="0.35">
      <c r="A19" s="24" t="s">
        <v>1142</v>
      </c>
      <c r="B19" s="24">
        <v>18</v>
      </c>
      <c r="C19" s="25" t="s">
        <v>1144</v>
      </c>
      <c r="D19">
        <v>18</v>
      </c>
      <c r="E19">
        <v>0</v>
      </c>
    </row>
    <row r="20" spans="1:5" x14ac:dyDescent="0.35">
      <c r="A20" s="24" t="s">
        <v>1142</v>
      </c>
      <c r="B20" s="24">
        <v>19</v>
      </c>
      <c r="C20" s="25" t="s">
        <v>1145</v>
      </c>
      <c r="D20">
        <v>19</v>
      </c>
      <c r="E20">
        <v>0</v>
      </c>
    </row>
    <row r="21" spans="1:5" x14ac:dyDescent="0.35">
      <c r="A21" s="24" t="s">
        <v>1142</v>
      </c>
      <c r="B21" s="24">
        <v>20</v>
      </c>
      <c r="C21" s="25" t="s">
        <v>1146</v>
      </c>
      <c r="D21">
        <v>20</v>
      </c>
      <c r="E21">
        <v>0</v>
      </c>
    </row>
    <row r="22" spans="1:5" x14ac:dyDescent="0.35">
      <c r="A22" s="24" t="s">
        <v>1147</v>
      </c>
      <c r="B22" s="24">
        <v>1</v>
      </c>
      <c r="C22" s="25" t="s">
        <v>61</v>
      </c>
      <c r="D22">
        <v>6</v>
      </c>
      <c r="E22">
        <v>1</v>
      </c>
    </row>
    <row r="23" spans="1:5" x14ac:dyDescent="0.35">
      <c r="A23" s="24" t="s">
        <v>1147</v>
      </c>
      <c r="B23" s="24">
        <v>2</v>
      </c>
      <c r="C23" s="25" t="s">
        <v>126</v>
      </c>
      <c r="D23">
        <v>10</v>
      </c>
      <c r="E23">
        <v>0</v>
      </c>
    </row>
    <row r="24" spans="1:5" x14ac:dyDescent="0.35">
      <c r="A24" s="24" t="s">
        <v>1147</v>
      </c>
      <c r="B24" s="24">
        <v>3</v>
      </c>
      <c r="C24" s="25" t="s">
        <v>1131</v>
      </c>
      <c r="D24">
        <v>16</v>
      </c>
      <c r="E24">
        <v>2</v>
      </c>
    </row>
    <row r="25" spans="1:5" x14ac:dyDescent="0.35">
      <c r="A25" s="24" t="s">
        <v>1147</v>
      </c>
      <c r="B25" s="24">
        <v>4</v>
      </c>
      <c r="C25" s="25" t="s">
        <v>232</v>
      </c>
      <c r="D25">
        <v>17</v>
      </c>
      <c r="E25">
        <v>1</v>
      </c>
    </row>
    <row r="26" spans="1:5" x14ac:dyDescent="0.35">
      <c r="A26" s="24" t="s">
        <v>1147</v>
      </c>
      <c r="B26" s="24">
        <v>5</v>
      </c>
      <c r="C26" s="25" t="s">
        <v>1143</v>
      </c>
      <c r="D26">
        <v>8</v>
      </c>
      <c r="E26">
        <v>1</v>
      </c>
    </row>
    <row r="27" spans="1:5" x14ac:dyDescent="0.35">
      <c r="A27" s="24" t="s">
        <v>1147</v>
      </c>
      <c r="B27" s="24">
        <v>6</v>
      </c>
      <c r="C27" s="25" t="s">
        <v>330</v>
      </c>
      <c r="D27">
        <v>18</v>
      </c>
      <c r="E27">
        <v>0</v>
      </c>
    </row>
    <row r="28" spans="1:5" x14ac:dyDescent="0.35">
      <c r="A28" s="24" t="s">
        <v>1147</v>
      </c>
      <c r="B28" s="24">
        <v>7</v>
      </c>
      <c r="C28" s="25" t="s">
        <v>385</v>
      </c>
      <c r="D28">
        <v>11</v>
      </c>
      <c r="E28">
        <v>0</v>
      </c>
    </row>
    <row r="29" spans="1:5" x14ac:dyDescent="0.35">
      <c r="A29" s="24" t="s">
        <v>1147</v>
      </c>
      <c r="B29" s="24">
        <v>8</v>
      </c>
      <c r="C29" s="25" t="s">
        <v>438</v>
      </c>
      <c r="D29">
        <v>12</v>
      </c>
      <c r="E29">
        <v>0</v>
      </c>
    </row>
    <row r="30" spans="1:5" x14ac:dyDescent="0.35">
      <c r="A30" s="24" t="s">
        <v>1147</v>
      </c>
      <c r="B30" s="24">
        <v>9</v>
      </c>
      <c r="C30" s="25" t="s">
        <v>493</v>
      </c>
      <c r="D30">
        <v>14</v>
      </c>
      <c r="E30">
        <v>0</v>
      </c>
    </row>
    <row r="31" spans="1:5" x14ac:dyDescent="0.35">
      <c r="A31" s="24" t="s">
        <v>1147</v>
      </c>
      <c r="B31" s="24">
        <v>10</v>
      </c>
      <c r="C31" s="25" t="s">
        <v>543</v>
      </c>
      <c r="D31">
        <v>9</v>
      </c>
      <c r="E31">
        <v>1</v>
      </c>
    </row>
    <row r="32" spans="1:5" x14ac:dyDescent="0.35">
      <c r="A32" s="24" t="s">
        <v>1147</v>
      </c>
      <c r="B32" s="24">
        <v>11</v>
      </c>
      <c r="C32" s="25" t="s">
        <v>595</v>
      </c>
      <c r="D32">
        <v>7</v>
      </c>
      <c r="E32">
        <v>1</v>
      </c>
    </row>
    <row r="33" spans="1:5" x14ac:dyDescent="0.35">
      <c r="A33" s="24" t="s">
        <v>1147</v>
      </c>
      <c r="B33" s="24">
        <v>12</v>
      </c>
      <c r="C33" s="25" t="s">
        <v>642</v>
      </c>
      <c r="D33">
        <v>4</v>
      </c>
      <c r="E33">
        <v>4</v>
      </c>
    </row>
    <row r="34" spans="1:5" x14ac:dyDescent="0.35">
      <c r="A34" s="24" t="s">
        <v>1147</v>
      </c>
      <c r="B34" s="24">
        <v>13</v>
      </c>
      <c r="C34" s="25" t="s">
        <v>702</v>
      </c>
      <c r="D34">
        <v>1</v>
      </c>
      <c r="E34">
        <v>4</v>
      </c>
    </row>
    <row r="35" spans="1:5" x14ac:dyDescent="0.35">
      <c r="A35" s="24" t="s">
        <v>1147</v>
      </c>
      <c r="B35" s="24">
        <v>14</v>
      </c>
      <c r="C35" s="25" t="s">
        <v>749</v>
      </c>
      <c r="D35">
        <v>15</v>
      </c>
      <c r="E35">
        <v>0</v>
      </c>
    </row>
    <row r="36" spans="1:5" x14ac:dyDescent="0.35">
      <c r="A36" s="24" t="s">
        <v>1147</v>
      </c>
      <c r="B36" s="24">
        <v>15</v>
      </c>
      <c r="C36" s="25" t="s">
        <v>796</v>
      </c>
      <c r="D36">
        <v>13</v>
      </c>
      <c r="E36">
        <v>0</v>
      </c>
    </row>
    <row r="37" spans="1:5" x14ac:dyDescent="0.35">
      <c r="A37" s="24" t="s">
        <v>1147</v>
      </c>
      <c r="B37" s="24">
        <v>16</v>
      </c>
      <c r="C37" s="25" t="s">
        <v>854</v>
      </c>
      <c r="D37">
        <v>5</v>
      </c>
      <c r="E37">
        <v>3</v>
      </c>
    </row>
    <row r="38" spans="1:5" x14ac:dyDescent="0.35">
      <c r="A38" s="24" t="s">
        <v>1147</v>
      </c>
      <c r="B38" s="24">
        <v>17</v>
      </c>
      <c r="C38" s="25" t="s">
        <v>903</v>
      </c>
      <c r="D38">
        <v>2</v>
      </c>
      <c r="E38">
        <v>3</v>
      </c>
    </row>
    <row r="39" spans="1:5" x14ac:dyDescent="0.35">
      <c r="A39" s="24" t="s">
        <v>1147</v>
      </c>
      <c r="B39" s="24">
        <v>18</v>
      </c>
      <c r="C39" s="25" t="s">
        <v>1144</v>
      </c>
      <c r="D39">
        <v>3</v>
      </c>
      <c r="E39">
        <v>3</v>
      </c>
    </row>
    <row r="40" spans="1:5" x14ac:dyDescent="0.35">
      <c r="A40" s="24" t="s">
        <v>1147</v>
      </c>
      <c r="B40" s="24">
        <v>19</v>
      </c>
      <c r="C40" s="25" t="s">
        <v>1145</v>
      </c>
      <c r="D40">
        <v>19</v>
      </c>
      <c r="E40">
        <v>0</v>
      </c>
    </row>
    <row r="41" spans="1:5" x14ac:dyDescent="0.35">
      <c r="A41" s="24" t="s">
        <v>1147</v>
      </c>
      <c r="B41" s="24">
        <v>20</v>
      </c>
      <c r="C41" s="25" t="s">
        <v>1146</v>
      </c>
      <c r="D41">
        <v>20</v>
      </c>
      <c r="E41">
        <v>0</v>
      </c>
    </row>
    <row r="42" spans="1:5" x14ac:dyDescent="0.35">
      <c r="A42" s="24" t="s">
        <v>1148</v>
      </c>
      <c r="B42" s="24">
        <v>1</v>
      </c>
      <c r="C42" s="25" t="s">
        <v>61</v>
      </c>
      <c r="D42">
        <v>1</v>
      </c>
      <c r="E42">
        <v>5</v>
      </c>
    </row>
    <row r="43" spans="1:5" x14ac:dyDescent="0.35">
      <c r="A43" s="24" t="s">
        <v>1148</v>
      </c>
      <c r="B43" s="24">
        <v>2</v>
      </c>
      <c r="C43" s="25" t="s">
        <v>126</v>
      </c>
      <c r="D43">
        <v>17</v>
      </c>
      <c r="E43">
        <v>0</v>
      </c>
    </row>
    <row r="44" spans="1:5" x14ac:dyDescent="0.35">
      <c r="A44" s="24" t="s">
        <v>1148</v>
      </c>
      <c r="B44" s="24">
        <v>3</v>
      </c>
      <c r="C44" s="25" t="s">
        <v>1131</v>
      </c>
      <c r="D44">
        <v>9</v>
      </c>
      <c r="E44">
        <v>1</v>
      </c>
    </row>
    <row r="45" spans="1:5" x14ac:dyDescent="0.35">
      <c r="A45" s="24" t="s">
        <v>1148</v>
      </c>
      <c r="B45" s="24">
        <v>4</v>
      </c>
      <c r="C45" s="25" t="s">
        <v>232</v>
      </c>
      <c r="D45">
        <v>10</v>
      </c>
      <c r="E45">
        <v>1</v>
      </c>
    </row>
    <row r="46" spans="1:5" x14ac:dyDescent="0.35">
      <c r="A46" s="24" t="s">
        <v>1148</v>
      </c>
      <c r="B46" s="24">
        <v>5</v>
      </c>
      <c r="C46" s="25" t="s">
        <v>1143</v>
      </c>
      <c r="D46">
        <v>18</v>
      </c>
      <c r="E46">
        <v>0</v>
      </c>
    </row>
    <row r="47" spans="1:5" x14ac:dyDescent="0.35">
      <c r="A47" s="24" t="s">
        <v>1148</v>
      </c>
      <c r="B47" s="24">
        <v>6</v>
      </c>
      <c r="C47" s="25" t="s">
        <v>330</v>
      </c>
      <c r="D47">
        <v>11</v>
      </c>
      <c r="E47">
        <v>2</v>
      </c>
    </row>
    <row r="48" spans="1:5" x14ac:dyDescent="0.35">
      <c r="A48" s="24" t="s">
        <v>1148</v>
      </c>
      <c r="B48" s="24">
        <v>7</v>
      </c>
      <c r="C48" s="25" t="s">
        <v>385</v>
      </c>
      <c r="D48">
        <v>4</v>
      </c>
      <c r="E48">
        <v>5</v>
      </c>
    </row>
    <row r="49" spans="1:5" x14ac:dyDescent="0.35">
      <c r="A49" s="24" t="s">
        <v>1148</v>
      </c>
      <c r="B49" s="24">
        <v>8</v>
      </c>
      <c r="C49" s="25" t="s">
        <v>438</v>
      </c>
      <c r="D49">
        <v>14</v>
      </c>
      <c r="E49">
        <v>1</v>
      </c>
    </row>
    <row r="50" spans="1:5" x14ac:dyDescent="0.35">
      <c r="A50" s="24" t="s">
        <v>1148</v>
      </c>
      <c r="B50" s="24">
        <v>9</v>
      </c>
      <c r="C50" s="25" t="s">
        <v>493</v>
      </c>
      <c r="D50">
        <v>8</v>
      </c>
      <c r="E50">
        <v>2</v>
      </c>
    </row>
    <row r="51" spans="1:5" x14ac:dyDescent="0.35">
      <c r="A51" s="24" t="s">
        <v>1148</v>
      </c>
      <c r="B51" s="24">
        <v>10</v>
      </c>
      <c r="C51" s="25" t="s">
        <v>543</v>
      </c>
      <c r="D51">
        <v>13</v>
      </c>
      <c r="E51">
        <v>1</v>
      </c>
    </row>
    <row r="52" spans="1:5" x14ac:dyDescent="0.35">
      <c r="A52" s="24" t="s">
        <v>1148</v>
      </c>
      <c r="B52" s="24">
        <v>11</v>
      </c>
      <c r="C52" s="25" t="s">
        <v>595</v>
      </c>
      <c r="D52">
        <v>12</v>
      </c>
      <c r="E52">
        <v>0</v>
      </c>
    </row>
    <row r="53" spans="1:5" x14ac:dyDescent="0.35">
      <c r="A53" s="24" t="s">
        <v>1148</v>
      </c>
      <c r="B53" s="24">
        <v>12</v>
      </c>
      <c r="C53" s="25" t="s">
        <v>642</v>
      </c>
      <c r="D53">
        <v>3</v>
      </c>
      <c r="E53">
        <v>3</v>
      </c>
    </row>
    <row r="54" spans="1:5" x14ac:dyDescent="0.35">
      <c r="A54" s="24" t="s">
        <v>1148</v>
      </c>
      <c r="B54" s="24">
        <v>13</v>
      </c>
      <c r="C54" s="25" t="s">
        <v>702</v>
      </c>
      <c r="D54">
        <v>6</v>
      </c>
      <c r="E54">
        <v>0</v>
      </c>
    </row>
    <row r="55" spans="1:5" x14ac:dyDescent="0.35">
      <c r="A55" s="24" t="s">
        <v>1148</v>
      </c>
      <c r="B55" s="24">
        <v>14</v>
      </c>
      <c r="C55" s="25" t="s">
        <v>749</v>
      </c>
      <c r="D55">
        <v>16</v>
      </c>
      <c r="E55">
        <v>1</v>
      </c>
    </row>
    <row r="56" spans="1:5" x14ac:dyDescent="0.35">
      <c r="A56" s="24" t="s">
        <v>1148</v>
      </c>
      <c r="B56" s="24">
        <v>15</v>
      </c>
      <c r="C56" s="25" t="s">
        <v>796</v>
      </c>
      <c r="D56">
        <v>15</v>
      </c>
      <c r="E56">
        <v>2</v>
      </c>
    </row>
    <row r="57" spans="1:5" x14ac:dyDescent="0.35">
      <c r="A57" s="24" t="s">
        <v>1148</v>
      </c>
      <c r="B57" s="24">
        <v>16</v>
      </c>
      <c r="C57" s="25" t="s">
        <v>854</v>
      </c>
      <c r="D57">
        <v>5</v>
      </c>
      <c r="E57">
        <v>1</v>
      </c>
    </row>
    <row r="58" spans="1:5" x14ac:dyDescent="0.35">
      <c r="A58" s="24" t="s">
        <v>1148</v>
      </c>
      <c r="B58" s="24">
        <v>17</v>
      </c>
      <c r="C58" s="25" t="s">
        <v>903</v>
      </c>
      <c r="D58">
        <v>7</v>
      </c>
      <c r="E58">
        <v>0</v>
      </c>
    </row>
    <row r="59" spans="1:5" x14ac:dyDescent="0.35">
      <c r="A59" s="24" t="s">
        <v>1148</v>
      </c>
      <c r="B59" s="24">
        <v>18</v>
      </c>
      <c r="C59" s="25" t="s">
        <v>1144</v>
      </c>
      <c r="D59">
        <v>2</v>
      </c>
      <c r="E59">
        <v>2</v>
      </c>
    </row>
    <row r="60" spans="1:5" x14ac:dyDescent="0.35">
      <c r="A60" s="24" t="s">
        <v>1148</v>
      </c>
      <c r="B60" s="24">
        <v>19</v>
      </c>
      <c r="C60" s="25" t="s">
        <v>1145</v>
      </c>
      <c r="D60">
        <v>20</v>
      </c>
      <c r="E60">
        <v>1</v>
      </c>
    </row>
    <row r="61" spans="1:5" x14ac:dyDescent="0.35">
      <c r="A61" s="24" t="s">
        <v>1148</v>
      </c>
      <c r="B61" s="24">
        <v>20</v>
      </c>
      <c r="C61" s="25" t="s">
        <v>1146</v>
      </c>
      <c r="D61">
        <v>19</v>
      </c>
      <c r="E61">
        <v>0</v>
      </c>
    </row>
    <row r="62" spans="1:5" x14ac:dyDescent="0.35">
      <c r="A62" s="24" t="s">
        <v>1149</v>
      </c>
      <c r="B62" s="24">
        <v>1</v>
      </c>
      <c r="C62" s="25" t="s">
        <v>61</v>
      </c>
      <c r="D62">
        <v>3</v>
      </c>
      <c r="E62">
        <v>0</v>
      </c>
    </row>
    <row r="63" spans="1:5" x14ac:dyDescent="0.35">
      <c r="A63" s="24" t="s">
        <v>1149</v>
      </c>
      <c r="B63" s="24">
        <v>2</v>
      </c>
      <c r="C63" s="25" t="s">
        <v>126</v>
      </c>
      <c r="D63">
        <v>19</v>
      </c>
      <c r="E63">
        <v>0</v>
      </c>
    </row>
    <row r="64" spans="1:5" x14ac:dyDescent="0.35">
      <c r="A64" s="24" t="s">
        <v>1149</v>
      </c>
      <c r="B64" s="24">
        <v>3</v>
      </c>
      <c r="C64" s="25" t="s">
        <v>1131</v>
      </c>
      <c r="D64">
        <v>7</v>
      </c>
      <c r="E64">
        <v>1</v>
      </c>
    </row>
    <row r="65" spans="1:5" x14ac:dyDescent="0.35">
      <c r="A65" s="24" t="s">
        <v>1149</v>
      </c>
      <c r="B65" s="24">
        <v>4</v>
      </c>
      <c r="C65" s="25" t="s">
        <v>232</v>
      </c>
      <c r="D65">
        <v>15</v>
      </c>
      <c r="E65">
        <v>1</v>
      </c>
    </row>
    <row r="66" spans="1:5" x14ac:dyDescent="0.35">
      <c r="A66" s="24" t="s">
        <v>1149</v>
      </c>
      <c r="B66" s="24">
        <v>5</v>
      </c>
      <c r="C66" s="25" t="s">
        <v>1143</v>
      </c>
      <c r="D66">
        <v>11</v>
      </c>
      <c r="E66">
        <v>2</v>
      </c>
    </row>
    <row r="67" spans="1:5" x14ac:dyDescent="0.35">
      <c r="A67" s="24" t="s">
        <v>1149</v>
      </c>
      <c r="B67" s="24">
        <v>6</v>
      </c>
      <c r="C67" s="25" t="s">
        <v>330</v>
      </c>
      <c r="D67">
        <v>14</v>
      </c>
      <c r="E67">
        <v>2</v>
      </c>
    </row>
    <row r="68" spans="1:5" x14ac:dyDescent="0.35">
      <c r="A68" s="24" t="s">
        <v>1149</v>
      </c>
      <c r="B68" s="24">
        <v>7</v>
      </c>
      <c r="C68" s="25" t="s">
        <v>385</v>
      </c>
      <c r="D68">
        <v>2</v>
      </c>
      <c r="E68">
        <v>2</v>
      </c>
    </row>
    <row r="69" spans="1:5" x14ac:dyDescent="0.35">
      <c r="A69" s="24" t="s">
        <v>1149</v>
      </c>
      <c r="B69" s="24">
        <v>8</v>
      </c>
      <c r="C69" s="25" t="s">
        <v>438</v>
      </c>
      <c r="D69">
        <v>8</v>
      </c>
      <c r="E69">
        <v>3</v>
      </c>
    </row>
    <row r="70" spans="1:5" x14ac:dyDescent="0.35">
      <c r="A70" s="24" t="s">
        <v>1149</v>
      </c>
      <c r="B70" s="24">
        <v>9</v>
      </c>
      <c r="C70" s="25" t="s">
        <v>493</v>
      </c>
      <c r="D70">
        <v>5</v>
      </c>
      <c r="E70">
        <v>3</v>
      </c>
    </row>
    <row r="71" spans="1:5" x14ac:dyDescent="0.35">
      <c r="A71" s="24" t="s">
        <v>1149</v>
      </c>
      <c r="B71" s="24">
        <v>10</v>
      </c>
      <c r="C71" s="25" t="s">
        <v>543</v>
      </c>
      <c r="D71">
        <v>18</v>
      </c>
      <c r="E71">
        <v>0</v>
      </c>
    </row>
    <row r="72" spans="1:5" x14ac:dyDescent="0.35">
      <c r="A72" s="24" t="s">
        <v>1149</v>
      </c>
      <c r="B72" s="24">
        <v>11</v>
      </c>
      <c r="C72" s="25" t="s">
        <v>595</v>
      </c>
      <c r="D72">
        <v>12</v>
      </c>
      <c r="E72">
        <v>0</v>
      </c>
    </row>
    <row r="73" spans="1:5" x14ac:dyDescent="0.35">
      <c r="A73" s="24" t="s">
        <v>1149</v>
      </c>
      <c r="B73" s="24">
        <v>12</v>
      </c>
      <c r="C73" s="25" t="s">
        <v>642</v>
      </c>
      <c r="D73">
        <v>1</v>
      </c>
      <c r="E73">
        <v>1</v>
      </c>
    </row>
    <row r="74" spans="1:5" x14ac:dyDescent="0.35">
      <c r="A74" s="24" t="s">
        <v>1149</v>
      </c>
      <c r="B74" s="24">
        <v>13</v>
      </c>
      <c r="C74" s="25" t="s">
        <v>702</v>
      </c>
      <c r="D74">
        <v>13</v>
      </c>
      <c r="E74">
        <v>1</v>
      </c>
    </row>
    <row r="75" spans="1:5" x14ac:dyDescent="0.35">
      <c r="A75" s="24" t="s">
        <v>1149</v>
      </c>
      <c r="B75" s="24">
        <v>14</v>
      </c>
      <c r="C75" s="25" t="s">
        <v>749</v>
      </c>
      <c r="D75">
        <v>9</v>
      </c>
      <c r="E75">
        <v>3</v>
      </c>
    </row>
    <row r="76" spans="1:5" x14ac:dyDescent="0.35">
      <c r="A76" s="24" t="s">
        <v>1149</v>
      </c>
      <c r="B76" s="24">
        <v>15</v>
      </c>
      <c r="C76" s="25" t="s">
        <v>796</v>
      </c>
      <c r="D76">
        <v>17</v>
      </c>
      <c r="E76">
        <v>0</v>
      </c>
    </row>
    <row r="77" spans="1:5" x14ac:dyDescent="0.35">
      <c r="A77" s="24" t="s">
        <v>1149</v>
      </c>
      <c r="B77" s="24">
        <v>16</v>
      </c>
      <c r="C77" s="25" t="s">
        <v>854</v>
      </c>
      <c r="D77">
        <v>10</v>
      </c>
      <c r="E77">
        <v>0</v>
      </c>
    </row>
    <row r="78" spans="1:5" x14ac:dyDescent="0.35">
      <c r="A78" s="24" t="s">
        <v>1149</v>
      </c>
      <c r="B78" s="24">
        <v>17</v>
      </c>
      <c r="C78" s="25" t="s">
        <v>903</v>
      </c>
      <c r="D78">
        <v>6</v>
      </c>
      <c r="E78">
        <v>2</v>
      </c>
    </row>
    <row r="79" spans="1:5" x14ac:dyDescent="0.35">
      <c r="A79" s="24" t="s">
        <v>1149</v>
      </c>
      <c r="B79" s="24">
        <v>18</v>
      </c>
      <c r="C79" s="25" t="s">
        <v>1144</v>
      </c>
      <c r="D79">
        <v>4</v>
      </c>
      <c r="E79">
        <v>0</v>
      </c>
    </row>
    <row r="80" spans="1:5" x14ac:dyDescent="0.35">
      <c r="A80" s="24" t="s">
        <v>1149</v>
      </c>
      <c r="B80" s="24">
        <v>19</v>
      </c>
      <c r="C80" s="25" t="s">
        <v>1145</v>
      </c>
      <c r="D80">
        <v>16</v>
      </c>
      <c r="E80">
        <v>3</v>
      </c>
    </row>
    <row r="81" spans="1:5" x14ac:dyDescent="0.35">
      <c r="A81" s="24" t="s">
        <v>1149</v>
      </c>
      <c r="B81" s="24">
        <v>20</v>
      </c>
      <c r="C81" s="25" t="s">
        <v>1146</v>
      </c>
      <c r="D81">
        <v>20</v>
      </c>
      <c r="E81">
        <v>2</v>
      </c>
    </row>
    <row r="82" spans="1:5" x14ac:dyDescent="0.35">
      <c r="A82" s="24" t="s">
        <v>1150</v>
      </c>
      <c r="B82" s="24">
        <v>1</v>
      </c>
      <c r="C82" s="25" t="s">
        <v>61</v>
      </c>
      <c r="D82">
        <v>1</v>
      </c>
      <c r="E82">
        <v>3</v>
      </c>
    </row>
    <row r="83" spans="1:5" x14ac:dyDescent="0.35">
      <c r="A83" s="24" t="s">
        <v>1150</v>
      </c>
      <c r="B83" s="24">
        <v>2</v>
      </c>
      <c r="C83" s="25" t="s">
        <v>126</v>
      </c>
      <c r="D83">
        <v>19</v>
      </c>
      <c r="E83">
        <v>0</v>
      </c>
    </row>
    <row r="84" spans="1:5" x14ac:dyDescent="0.35">
      <c r="A84" s="24" t="s">
        <v>1150</v>
      </c>
      <c r="B84" s="24">
        <v>3</v>
      </c>
      <c r="C84" s="25" t="s">
        <v>1131</v>
      </c>
      <c r="D84">
        <v>4</v>
      </c>
      <c r="E84">
        <v>2</v>
      </c>
    </row>
    <row r="85" spans="1:5" x14ac:dyDescent="0.35">
      <c r="A85" s="24" t="s">
        <v>1150</v>
      </c>
      <c r="B85" s="24">
        <v>4</v>
      </c>
      <c r="C85" s="25" t="s">
        <v>232</v>
      </c>
      <c r="D85">
        <v>12</v>
      </c>
      <c r="E85">
        <v>2</v>
      </c>
    </row>
    <row r="86" spans="1:5" x14ac:dyDescent="0.35">
      <c r="A86" s="24" t="s">
        <v>1150</v>
      </c>
      <c r="B86" s="24">
        <v>5</v>
      </c>
      <c r="C86" s="25" t="s">
        <v>1143</v>
      </c>
      <c r="D86">
        <v>13</v>
      </c>
      <c r="E86">
        <v>1</v>
      </c>
    </row>
    <row r="87" spans="1:5" x14ac:dyDescent="0.35">
      <c r="A87" s="24" t="s">
        <v>1150</v>
      </c>
      <c r="B87" s="24">
        <v>6</v>
      </c>
      <c r="C87" s="25" t="s">
        <v>330</v>
      </c>
      <c r="D87">
        <v>17</v>
      </c>
      <c r="E87">
        <v>0</v>
      </c>
    </row>
    <row r="88" spans="1:5" x14ac:dyDescent="0.35">
      <c r="A88" s="24" t="s">
        <v>1150</v>
      </c>
      <c r="B88" s="24">
        <v>7</v>
      </c>
      <c r="C88" s="25" t="s">
        <v>385</v>
      </c>
      <c r="D88">
        <v>5</v>
      </c>
      <c r="E88">
        <v>2</v>
      </c>
    </row>
    <row r="89" spans="1:5" x14ac:dyDescent="0.35">
      <c r="A89" s="24" t="s">
        <v>1150</v>
      </c>
      <c r="B89" s="24">
        <v>8</v>
      </c>
      <c r="C89" s="25" t="s">
        <v>438</v>
      </c>
      <c r="D89">
        <v>9</v>
      </c>
      <c r="E89">
        <v>0</v>
      </c>
    </row>
    <row r="90" spans="1:5" x14ac:dyDescent="0.35">
      <c r="A90" s="24" t="s">
        <v>1150</v>
      </c>
      <c r="B90" s="24">
        <v>9</v>
      </c>
      <c r="C90" s="25" t="s">
        <v>493</v>
      </c>
      <c r="D90">
        <v>6</v>
      </c>
      <c r="E90">
        <v>0</v>
      </c>
    </row>
    <row r="91" spans="1:5" x14ac:dyDescent="0.35">
      <c r="A91" s="24" t="s">
        <v>1150</v>
      </c>
      <c r="B91" s="24">
        <v>10</v>
      </c>
      <c r="C91" s="25" t="s">
        <v>543</v>
      </c>
      <c r="D91">
        <v>11</v>
      </c>
      <c r="E91">
        <v>1</v>
      </c>
    </row>
    <row r="92" spans="1:5" x14ac:dyDescent="0.35">
      <c r="A92" s="24" t="s">
        <v>1150</v>
      </c>
      <c r="B92" s="24">
        <v>11</v>
      </c>
      <c r="C92" s="25" t="s">
        <v>595</v>
      </c>
      <c r="D92">
        <v>16</v>
      </c>
      <c r="E92">
        <v>0</v>
      </c>
    </row>
    <row r="93" spans="1:5" x14ac:dyDescent="0.35">
      <c r="A93" s="24" t="s">
        <v>1150</v>
      </c>
      <c r="B93" s="24">
        <v>12</v>
      </c>
      <c r="C93" s="25" t="s">
        <v>642</v>
      </c>
      <c r="D93">
        <v>1</v>
      </c>
      <c r="E93">
        <v>1</v>
      </c>
    </row>
    <row r="94" spans="1:5" x14ac:dyDescent="0.35">
      <c r="A94" s="24" t="s">
        <v>1150</v>
      </c>
      <c r="B94" s="24">
        <v>13</v>
      </c>
      <c r="C94" s="25" t="s">
        <v>702</v>
      </c>
      <c r="D94">
        <v>8</v>
      </c>
      <c r="E94">
        <v>3</v>
      </c>
    </row>
    <row r="95" spans="1:5" x14ac:dyDescent="0.35">
      <c r="A95" s="24" t="s">
        <v>1150</v>
      </c>
      <c r="B95" s="24">
        <v>14</v>
      </c>
      <c r="C95" s="25" t="s">
        <v>749</v>
      </c>
      <c r="D95">
        <v>14</v>
      </c>
      <c r="E95">
        <v>0</v>
      </c>
    </row>
    <row r="96" spans="1:5" x14ac:dyDescent="0.35">
      <c r="A96" s="24" t="s">
        <v>1150</v>
      </c>
      <c r="B96" s="24">
        <v>15</v>
      </c>
      <c r="C96" s="25" t="s">
        <v>796</v>
      </c>
      <c r="D96">
        <v>10</v>
      </c>
      <c r="E96">
        <v>1</v>
      </c>
    </row>
    <row r="97" spans="1:5" x14ac:dyDescent="0.35">
      <c r="A97" s="24" t="s">
        <v>1150</v>
      </c>
      <c r="B97" s="24">
        <v>16</v>
      </c>
      <c r="C97" s="25" t="s">
        <v>854</v>
      </c>
      <c r="D97">
        <v>15</v>
      </c>
      <c r="E97">
        <v>0</v>
      </c>
    </row>
    <row r="98" spans="1:5" x14ac:dyDescent="0.35">
      <c r="A98" s="24" t="s">
        <v>1150</v>
      </c>
      <c r="B98" s="24">
        <v>17</v>
      </c>
      <c r="C98" s="25" t="s">
        <v>903</v>
      </c>
      <c r="D98">
        <v>7</v>
      </c>
      <c r="E98">
        <v>0</v>
      </c>
    </row>
    <row r="99" spans="1:5" x14ac:dyDescent="0.35">
      <c r="A99" s="24" t="s">
        <v>1150</v>
      </c>
      <c r="B99" s="24">
        <v>18</v>
      </c>
      <c r="C99" s="25" t="s">
        <v>1144</v>
      </c>
      <c r="D99">
        <v>3</v>
      </c>
      <c r="E99">
        <v>3</v>
      </c>
    </row>
    <row r="100" spans="1:5" x14ac:dyDescent="0.35">
      <c r="A100" s="24" t="s">
        <v>1150</v>
      </c>
      <c r="B100" s="24">
        <v>19</v>
      </c>
      <c r="C100" s="25" t="s">
        <v>1145</v>
      </c>
      <c r="D100">
        <v>18</v>
      </c>
      <c r="E100">
        <v>3</v>
      </c>
    </row>
    <row r="101" spans="1:5" x14ac:dyDescent="0.35">
      <c r="A101" s="24" t="s">
        <v>1150</v>
      </c>
      <c r="B101" s="24">
        <v>20</v>
      </c>
      <c r="C101" s="25" t="s">
        <v>1146</v>
      </c>
      <c r="D101">
        <v>20</v>
      </c>
      <c r="E101">
        <v>0</v>
      </c>
    </row>
    <row r="102" spans="1:5" x14ac:dyDescent="0.35">
      <c r="A102" s="24" t="s">
        <v>1151</v>
      </c>
      <c r="B102" s="24">
        <v>1</v>
      </c>
      <c r="C102" s="25" t="s">
        <v>61</v>
      </c>
      <c r="D102">
        <v>2</v>
      </c>
      <c r="E102">
        <v>1</v>
      </c>
    </row>
    <row r="103" spans="1:5" x14ac:dyDescent="0.35">
      <c r="A103" s="24" t="s">
        <v>1151</v>
      </c>
      <c r="B103" s="24">
        <v>2</v>
      </c>
      <c r="C103" s="25" t="s">
        <v>126</v>
      </c>
      <c r="D103">
        <v>18</v>
      </c>
      <c r="E103">
        <v>1</v>
      </c>
    </row>
    <row r="104" spans="1:5" x14ac:dyDescent="0.35">
      <c r="A104" s="24" t="s">
        <v>1151</v>
      </c>
      <c r="B104" s="24">
        <v>3</v>
      </c>
      <c r="C104" s="25" t="s">
        <v>1131</v>
      </c>
      <c r="D104">
        <v>4</v>
      </c>
      <c r="E104">
        <v>0</v>
      </c>
    </row>
    <row r="105" spans="1:5" x14ac:dyDescent="0.35">
      <c r="A105" s="24" t="s">
        <v>1151</v>
      </c>
      <c r="B105" s="24">
        <v>4</v>
      </c>
      <c r="C105" s="25" t="s">
        <v>232</v>
      </c>
      <c r="D105">
        <v>17</v>
      </c>
      <c r="E105">
        <v>1</v>
      </c>
    </row>
    <row r="106" spans="1:5" x14ac:dyDescent="0.35">
      <c r="A106" s="24" t="s">
        <v>1151</v>
      </c>
      <c r="B106" s="24">
        <v>5</v>
      </c>
      <c r="C106" s="25" t="s">
        <v>1143</v>
      </c>
      <c r="D106">
        <v>14</v>
      </c>
      <c r="E106">
        <v>2</v>
      </c>
    </row>
    <row r="107" spans="1:5" x14ac:dyDescent="0.35">
      <c r="A107" s="24" t="s">
        <v>1151</v>
      </c>
      <c r="B107" s="24">
        <v>6</v>
      </c>
      <c r="C107" s="25" t="s">
        <v>330</v>
      </c>
      <c r="D107">
        <v>16</v>
      </c>
      <c r="E107">
        <v>1</v>
      </c>
    </row>
    <row r="108" spans="1:5" x14ac:dyDescent="0.35">
      <c r="A108" s="24" t="s">
        <v>1151</v>
      </c>
      <c r="B108" s="24">
        <v>7</v>
      </c>
      <c r="C108" s="25" t="s">
        <v>385</v>
      </c>
      <c r="D108">
        <v>6</v>
      </c>
      <c r="E108">
        <v>1</v>
      </c>
    </row>
    <row r="109" spans="1:5" x14ac:dyDescent="0.35">
      <c r="A109" s="24" t="s">
        <v>1151</v>
      </c>
      <c r="B109" s="24">
        <v>8</v>
      </c>
      <c r="C109" s="25" t="s">
        <v>438</v>
      </c>
      <c r="D109">
        <v>5</v>
      </c>
      <c r="E109">
        <v>2</v>
      </c>
    </row>
    <row r="110" spans="1:5" x14ac:dyDescent="0.35">
      <c r="A110" s="24" t="s">
        <v>1151</v>
      </c>
      <c r="B110" s="24">
        <v>9</v>
      </c>
      <c r="C110" s="25" t="s">
        <v>493</v>
      </c>
      <c r="D110">
        <v>10</v>
      </c>
      <c r="E110">
        <v>1</v>
      </c>
    </row>
    <row r="111" spans="1:5" x14ac:dyDescent="0.35">
      <c r="A111" s="24" t="s">
        <v>1151</v>
      </c>
      <c r="B111" s="24">
        <v>10</v>
      </c>
      <c r="C111" s="25" t="s">
        <v>543</v>
      </c>
      <c r="D111">
        <v>8</v>
      </c>
      <c r="E111">
        <v>3</v>
      </c>
    </row>
    <row r="112" spans="1:5" x14ac:dyDescent="0.35">
      <c r="A112" s="24" t="s">
        <v>1151</v>
      </c>
      <c r="B112" s="24">
        <v>11</v>
      </c>
      <c r="C112" s="25" t="s">
        <v>595</v>
      </c>
      <c r="D112">
        <v>12</v>
      </c>
      <c r="E112">
        <v>3</v>
      </c>
    </row>
    <row r="113" spans="1:5" x14ac:dyDescent="0.35">
      <c r="A113" s="24" t="s">
        <v>1151</v>
      </c>
      <c r="B113" s="24">
        <v>12</v>
      </c>
      <c r="C113" s="25" t="s">
        <v>642</v>
      </c>
      <c r="D113">
        <v>1</v>
      </c>
      <c r="E113">
        <v>2</v>
      </c>
    </row>
    <row r="114" spans="1:5" x14ac:dyDescent="0.35">
      <c r="A114" s="24" t="s">
        <v>1151</v>
      </c>
      <c r="B114" s="24">
        <v>13</v>
      </c>
      <c r="C114" s="25" t="s">
        <v>702</v>
      </c>
      <c r="D114">
        <v>9</v>
      </c>
      <c r="E114">
        <v>1</v>
      </c>
    </row>
    <row r="115" spans="1:5" x14ac:dyDescent="0.35">
      <c r="A115" s="24" t="s">
        <v>1151</v>
      </c>
      <c r="B115" s="24">
        <v>14</v>
      </c>
      <c r="C115" s="25" t="s">
        <v>749</v>
      </c>
      <c r="D115">
        <v>11</v>
      </c>
      <c r="E115">
        <v>2</v>
      </c>
    </row>
    <row r="116" spans="1:5" x14ac:dyDescent="0.35">
      <c r="A116" s="24" t="s">
        <v>1151</v>
      </c>
      <c r="B116" s="24">
        <v>15</v>
      </c>
      <c r="C116" s="25" t="s">
        <v>796</v>
      </c>
      <c r="D116">
        <v>13</v>
      </c>
      <c r="E116">
        <v>0</v>
      </c>
    </row>
    <row r="117" spans="1:5" x14ac:dyDescent="0.35">
      <c r="A117" s="24" t="s">
        <v>1151</v>
      </c>
      <c r="B117" s="24">
        <v>16</v>
      </c>
      <c r="C117" s="25" t="s">
        <v>854</v>
      </c>
      <c r="D117">
        <v>15</v>
      </c>
      <c r="E117">
        <v>1</v>
      </c>
    </row>
    <row r="118" spans="1:5" x14ac:dyDescent="0.35">
      <c r="A118" s="24" t="s">
        <v>1151</v>
      </c>
      <c r="B118" s="24">
        <v>17</v>
      </c>
      <c r="C118" s="25" t="s">
        <v>903</v>
      </c>
      <c r="D118">
        <v>7</v>
      </c>
      <c r="E118">
        <v>1</v>
      </c>
    </row>
    <row r="119" spans="1:5" x14ac:dyDescent="0.35">
      <c r="A119" s="24" t="s">
        <v>1151</v>
      </c>
      <c r="B119" s="24">
        <v>18</v>
      </c>
      <c r="C119" s="25" t="s">
        <v>1144</v>
      </c>
      <c r="D119">
        <v>3</v>
      </c>
      <c r="E119">
        <v>2</v>
      </c>
    </row>
    <row r="120" spans="1:5" x14ac:dyDescent="0.35">
      <c r="A120" s="24" t="s">
        <v>1151</v>
      </c>
      <c r="B120" s="24">
        <v>19</v>
      </c>
      <c r="C120" s="25" t="s">
        <v>1145</v>
      </c>
      <c r="D120">
        <v>19</v>
      </c>
      <c r="E120">
        <v>1</v>
      </c>
    </row>
    <row r="121" spans="1:5" x14ac:dyDescent="0.35">
      <c r="A121" s="24" t="s">
        <v>1151</v>
      </c>
      <c r="B121" s="24">
        <v>20</v>
      </c>
      <c r="C121" s="25" t="s">
        <v>1146</v>
      </c>
      <c r="D121">
        <v>20</v>
      </c>
      <c r="E121">
        <v>1</v>
      </c>
    </row>
    <row r="122" spans="1:5" x14ac:dyDescent="0.35">
      <c r="A122" s="24" t="s">
        <v>1152</v>
      </c>
      <c r="B122" s="24">
        <v>1</v>
      </c>
      <c r="C122" s="25" t="s">
        <v>61</v>
      </c>
      <c r="D122">
        <v>2</v>
      </c>
      <c r="E122">
        <v>2</v>
      </c>
    </row>
    <row r="123" spans="1:5" x14ac:dyDescent="0.35">
      <c r="A123" s="24" t="s">
        <v>1152</v>
      </c>
      <c r="B123" s="24">
        <v>2</v>
      </c>
      <c r="C123" s="25" t="s">
        <v>126</v>
      </c>
      <c r="D123">
        <v>16</v>
      </c>
      <c r="E123">
        <v>3</v>
      </c>
    </row>
    <row r="124" spans="1:5" x14ac:dyDescent="0.35">
      <c r="A124" s="24" t="s">
        <v>1152</v>
      </c>
      <c r="B124" s="24">
        <v>3</v>
      </c>
      <c r="C124" s="25" t="s">
        <v>1131</v>
      </c>
      <c r="D124">
        <v>6</v>
      </c>
      <c r="E124">
        <v>2</v>
      </c>
    </row>
    <row r="125" spans="1:5" x14ac:dyDescent="0.35">
      <c r="A125" s="24" t="s">
        <v>1152</v>
      </c>
      <c r="B125" s="24">
        <v>4</v>
      </c>
      <c r="C125" s="25" t="s">
        <v>232</v>
      </c>
      <c r="D125">
        <v>13</v>
      </c>
      <c r="E125">
        <v>3</v>
      </c>
    </row>
    <row r="126" spans="1:5" x14ac:dyDescent="0.35">
      <c r="A126" s="24" t="s">
        <v>1152</v>
      </c>
      <c r="B126" s="24">
        <v>5</v>
      </c>
      <c r="C126" s="25" t="s">
        <v>1143</v>
      </c>
      <c r="D126">
        <v>10</v>
      </c>
      <c r="E126">
        <v>3</v>
      </c>
    </row>
    <row r="127" spans="1:5" x14ac:dyDescent="0.35">
      <c r="A127" s="24" t="s">
        <v>1152</v>
      </c>
      <c r="B127" s="24">
        <v>6</v>
      </c>
      <c r="C127" s="25" t="s">
        <v>330</v>
      </c>
      <c r="D127">
        <v>18</v>
      </c>
      <c r="E127">
        <v>1</v>
      </c>
    </row>
    <row r="128" spans="1:5" x14ac:dyDescent="0.35">
      <c r="A128" s="24" t="s">
        <v>1152</v>
      </c>
      <c r="B128" s="24">
        <v>7</v>
      </c>
      <c r="C128" s="25" t="s">
        <v>385</v>
      </c>
      <c r="D128">
        <v>8</v>
      </c>
      <c r="E128">
        <v>1</v>
      </c>
    </row>
    <row r="129" spans="1:5" x14ac:dyDescent="0.35">
      <c r="A129" s="24" t="s">
        <v>1152</v>
      </c>
      <c r="B129" s="24">
        <v>8</v>
      </c>
      <c r="C129" s="25" t="s">
        <v>438</v>
      </c>
      <c r="D129">
        <v>3</v>
      </c>
      <c r="E129">
        <v>2</v>
      </c>
    </row>
    <row r="130" spans="1:5" x14ac:dyDescent="0.35">
      <c r="A130" s="24" t="s">
        <v>1152</v>
      </c>
      <c r="B130" s="24">
        <v>9</v>
      </c>
      <c r="C130" s="25" t="s">
        <v>493</v>
      </c>
      <c r="D130">
        <v>9</v>
      </c>
      <c r="E130">
        <v>1</v>
      </c>
    </row>
    <row r="131" spans="1:5" x14ac:dyDescent="0.35">
      <c r="A131" s="24" t="s">
        <v>1152</v>
      </c>
      <c r="B131" s="24">
        <v>10</v>
      </c>
      <c r="C131" s="25" t="s">
        <v>543</v>
      </c>
      <c r="D131">
        <v>11</v>
      </c>
      <c r="E131">
        <v>1</v>
      </c>
    </row>
    <row r="132" spans="1:5" x14ac:dyDescent="0.35">
      <c r="A132" s="24" t="s">
        <v>1152</v>
      </c>
      <c r="B132" s="24">
        <v>11</v>
      </c>
      <c r="C132" s="25" t="s">
        <v>595</v>
      </c>
      <c r="D132">
        <v>12</v>
      </c>
      <c r="E132">
        <v>2</v>
      </c>
    </row>
    <row r="133" spans="1:5" x14ac:dyDescent="0.35">
      <c r="A133" s="24" t="s">
        <v>1152</v>
      </c>
      <c r="B133" s="24">
        <v>12</v>
      </c>
      <c r="C133" s="25" t="s">
        <v>642</v>
      </c>
      <c r="D133">
        <v>1</v>
      </c>
      <c r="E133">
        <v>1</v>
      </c>
    </row>
    <row r="134" spans="1:5" x14ac:dyDescent="0.35">
      <c r="A134" s="24" t="s">
        <v>1152</v>
      </c>
      <c r="B134" s="24">
        <v>13</v>
      </c>
      <c r="C134" s="25" t="s">
        <v>702</v>
      </c>
      <c r="D134">
        <v>7</v>
      </c>
      <c r="E134">
        <v>5</v>
      </c>
    </row>
    <row r="135" spans="1:5" x14ac:dyDescent="0.35">
      <c r="A135" s="24" t="s">
        <v>1152</v>
      </c>
      <c r="B135" s="24">
        <v>14</v>
      </c>
      <c r="C135" s="25" t="s">
        <v>749</v>
      </c>
      <c r="D135">
        <v>14</v>
      </c>
      <c r="E135">
        <v>1</v>
      </c>
    </row>
    <row r="136" spans="1:5" x14ac:dyDescent="0.35">
      <c r="A136" s="24" t="s">
        <v>1152</v>
      </c>
      <c r="B136" s="24">
        <v>15</v>
      </c>
      <c r="C136" s="25" t="s">
        <v>796</v>
      </c>
      <c r="D136">
        <v>15</v>
      </c>
      <c r="E136">
        <v>1</v>
      </c>
    </row>
    <row r="137" spans="1:5" x14ac:dyDescent="0.35">
      <c r="A137" s="24" t="s">
        <v>1152</v>
      </c>
      <c r="B137" s="24">
        <v>16</v>
      </c>
      <c r="C137" s="25" t="s">
        <v>854</v>
      </c>
      <c r="D137">
        <v>17</v>
      </c>
      <c r="E137">
        <v>0</v>
      </c>
    </row>
    <row r="138" spans="1:5" x14ac:dyDescent="0.35">
      <c r="A138" s="24" t="s">
        <v>1152</v>
      </c>
      <c r="B138" s="24">
        <v>17</v>
      </c>
      <c r="C138" s="25" t="s">
        <v>903</v>
      </c>
      <c r="D138">
        <v>5</v>
      </c>
      <c r="E138">
        <v>1</v>
      </c>
    </row>
    <row r="139" spans="1:5" x14ac:dyDescent="0.35">
      <c r="A139" s="24" t="s">
        <v>1152</v>
      </c>
      <c r="B139" s="24">
        <v>18</v>
      </c>
      <c r="C139" s="25" t="s">
        <v>1144</v>
      </c>
      <c r="D139">
        <v>4</v>
      </c>
      <c r="E139">
        <v>1</v>
      </c>
    </row>
    <row r="140" spans="1:5" x14ac:dyDescent="0.35">
      <c r="A140" s="24" t="s">
        <v>1152</v>
      </c>
      <c r="B140" s="24">
        <v>19</v>
      </c>
      <c r="C140" s="25" t="s">
        <v>1145</v>
      </c>
      <c r="D140">
        <v>19</v>
      </c>
      <c r="E140">
        <v>1</v>
      </c>
    </row>
    <row r="141" spans="1:5" x14ac:dyDescent="0.35">
      <c r="A141" s="24" t="s">
        <v>1152</v>
      </c>
      <c r="B141" s="24">
        <v>20</v>
      </c>
      <c r="C141" s="25" t="s">
        <v>1146</v>
      </c>
      <c r="D141">
        <v>20</v>
      </c>
      <c r="E141">
        <v>1</v>
      </c>
    </row>
    <row r="142" spans="1:5" x14ac:dyDescent="0.35">
      <c r="A142" s="24" t="s">
        <v>1153</v>
      </c>
      <c r="B142" s="24">
        <v>1</v>
      </c>
      <c r="C142" s="25" t="s">
        <v>61</v>
      </c>
      <c r="D142">
        <v>1</v>
      </c>
      <c r="E142">
        <v>2</v>
      </c>
    </row>
    <row r="143" spans="1:5" x14ac:dyDescent="0.35">
      <c r="A143" s="24" t="s">
        <v>1153</v>
      </c>
      <c r="B143" s="24">
        <v>2</v>
      </c>
      <c r="C143" s="25" t="s">
        <v>126</v>
      </c>
      <c r="D143">
        <v>13</v>
      </c>
      <c r="E143">
        <v>2</v>
      </c>
    </row>
    <row r="144" spans="1:5" x14ac:dyDescent="0.35">
      <c r="A144" s="24" t="s">
        <v>1153</v>
      </c>
      <c r="B144" s="24">
        <v>3</v>
      </c>
      <c r="C144" s="25" t="s">
        <v>1131</v>
      </c>
      <c r="D144">
        <v>4</v>
      </c>
      <c r="E144">
        <v>3</v>
      </c>
    </row>
    <row r="145" spans="1:5" x14ac:dyDescent="0.35">
      <c r="A145" s="24" t="s">
        <v>1153</v>
      </c>
      <c r="B145" s="24">
        <v>4</v>
      </c>
      <c r="C145" s="25" t="s">
        <v>232</v>
      </c>
      <c r="D145">
        <v>16</v>
      </c>
      <c r="E145">
        <v>0</v>
      </c>
    </row>
    <row r="146" spans="1:5" x14ac:dyDescent="0.35">
      <c r="A146" s="24" t="s">
        <v>1153</v>
      </c>
      <c r="B146" s="24">
        <v>5</v>
      </c>
      <c r="C146" s="25" t="s">
        <v>1143</v>
      </c>
      <c r="D146">
        <v>12</v>
      </c>
      <c r="E146">
        <v>1</v>
      </c>
    </row>
    <row r="147" spans="1:5" x14ac:dyDescent="0.35">
      <c r="A147" s="24" t="s">
        <v>1153</v>
      </c>
      <c r="B147" s="24">
        <v>6</v>
      </c>
      <c r="C147" s="25" t="s">
        <v>330</v>
      </c>
      <c r="D147">
        <v>18</v>
      </c>
      <c r="E147">
        <v>1</v>
      </c>
    </row>
    <row r="148" spans="1:5" x14ac:dyDescent="0.35">
      <c r="A148" s="24" t="s">
        <v>1153</v>
      </c>
      <c r="B148" s="24">
        <v>7</v>
      </c>
      <c r="C148" s="25" t="s">
        <v>385</v>
      </c>
      <c r="D148">
        <v>7</v>
      </c>
      <c r="E148">
        <v>2</v>
      </c>
    </row>
    <row r="149" spans="1:5" x14ac:dyDescent="0.35">
      <c r="A149" s="24" t="s">
        <v>1153</v>
      </c>
      <c r="B149" s="24">
        <v>8</v>
      </c>
      <c r="C149" s="25" t="s">
        <v>438</v>
      </c>
      <c r="D149">
        <v>6</v>
      </c>
      <c r="E149">
        <v>1</v>
      </c>
    </row>
    <row r="150" spans="1:5" x14ac:dyDescent="0.35">
      <c r="A150" s="24" t="s">
        <v>1153</v>
      </c>
      <c r="B150" s="24">
        <v>9</v>
      </c>
      <c r="C150" s="25" t="s">
        <v>493</v>
      </c>
      <c r="D150">
        <v>8</v>
      </c>
      <c r="E150">
        <v>2</v>
      </c>
    </row>
    <row r="151" spans="1:5" x14ac:dyDescent="0.35">
      <c r="A151" s="24" t="s">
        <v>1153</v>
      </c>
      <c r="B151" s="24">
        <v>10</v>
      </c>
      <c r="C151" s="25" t="s">
        <v>543</v>
      </c>
      <c r="D151">
        <v>14</v>
      </c>
      <c r="E151">
        <v>1</v>
      </c>
    </row>
    <row r="152" spans="1:5" x14ac:dyDescent="0.35">
      <c r="A152" s="24" t="s">
        <v>1153</v>
      </c>
      <c r="B152" s="24">
        <v>11</v>
      </c>
      <c r="C152" s="25" t="s">
        <v>595</v>
      </c>
      <c r="D152">
        <v>15</v>
      </c>
      <c r="E152">
        <v>1</v>
      </c>
    </row>
    <row r="153" spans="1:5" x14ac:dyDescent="0.35">
      <c r="A153" s="24" t="s">
        <v>1153</v>
      </c>
      <c r="B153" s="24">
        <v>12</v>
      </c>
      <c r="C153" s="25" t="s">
        <v>642</v>
      </c>
      <c r="D153">
        <v>2</v>
      </c>
      <c r="E153">
        <v>1</v>
      </c>
    </row>
    <row r="154" spans="1:5" x14ac:dyDescent="0.35">
      <c r="A154" s="24" t="s">
        <v>1153</v>
      </c>
      <c r="B154" s="24">
        <v>13</v>
      </c>
      <c r="C154" s="25" t="s">
        <v>702</v>
      </c>
      <c r="D154">
        <v>5</v>
      </c>
      <c r="E154">
        <v>1</v>
      </c>
    </row>
    <row r="155" spans="1:5" x14ac:dyDescent="0.35">
      <c r="A155" s="24" t="s">
        <v>1153</v>
      </c>
      <c r="B155" s="24">
        <v>14</v>
      </c>
      <c r="C155" s="25" t="s">
        <v>749</v>
      </c>
      <c r="D155">
        <v>10</v>
      </c>
      <c r="E155">
        <v>2</v>
      </c>
    </row>
    <row r="156" spans="1:5" x14ac:dyDescent="0.35">
      <c r="A156" s="24" t="s">
        <v>1153</v>
      </c>
      <c r="B156" s="24">
        <v>15</v>
      </c>
      <c r="C156" s="25" t="s">
        <v>796</v>
      </c>
      <c r="D156">
        <v>11</v>
      </c>
      <c r="E156">
        <v>2</v>
      </c>
    </row>
    <row r="157" spans="1:5" x14ac:dyDescent="0.35">
      <c r="A157" s="24" t="s">
        <v>1153</v>
      </c>
      <c r="B157" s="24">
        <v>16</v>
      </c>
      <c r="C157" s="25" t="s">
        <v>854</v>
      </c>
      <c r="D157">
        <v>17</v>
      </c>
      <c r="E157">
        <v>0</v>
      </c>
    </row>
    <row r="158" spans="1:5" x14ac:dyDescent="0.35">
      <c r="A158" s="24" t="s">
        <v>1153</v>
      </c>
      <c r="B158" s="24">
        <v>17</v>
      </c>
      <c r="C158" s="25" t="s">
        <v>903</v>
      </c>
      <c r="D158">
        <v>9</v>
      </c>
      <c r="E158">
        <v>0</v>
      </c>
    </row>
    <row r="159" spans="1:5" x14ac:dyDescent="0.35">
      <c r="A159" s="24" t="s">
        <v>1153</v>
      </c>
      <c r="B159" s="24">
        <v>18</v>
      </c>
      <c r="C159" s="25" t="s">
        <v>1144</v>
      </c>
      <c r="D159">
        <v>3</v>
      </c>
      <c r="E159">
        <v>2</v>
      </c>
    </row>
    <row r="160" spans="1:5" x14ac:dyDescent="0.35">
      <c r="A160" s="24" t="s">
        <v>1153</v>
      </c>
      <c r="B160" s="24">
        <v>19</v>
      </c>
      <c r="C160" s="25" t="s">
        <v>1145</v>
      </c>
      <c r="D160">
        <v>19</v>
      </c>
      <c r="E160">
        <v>0</v>
      </c>
    </row>
    <row r="161" spans="1:5" x14ac:dyDescent="0.35">
      <c r="A161" s="24" t="s">
        <v>1153</v>
      </c>
      <c r="B161" s="24">
        <v>20</v>
      </c>
      <c r="C161" s="25" t="s">
        <v>1146</v>
      </c>
      <c r="D161">
        <v>20</v>
      </c>
      <c r="E161">
        <v>1</v>
      </c>
    </row>
    <row r="162" spans="1:5" x14ac:dyDescent="0.35">
      <c r="A162" s="24" t="s">
        <v>1154</v>
      </c>
      <c r="B162" s="24">
        <v>1</v>
      </c>
      <c r="C162" s="25" t="s">
        <v>61</v>
      </c>
      <c r="D162">
        <v>1</v>
      </c>
      <c r="E162">
        <v>1</v>
      </c>
    </row>
    <row r="163" spans="1:5" x14ac:dyDescent="0.35">
      <c r="A163" s="24" t="s">
        <v>1154</v>
      </c>
      <c r="B163" s="24">
        <v>2</v>
      </c>
      <c r="C163" s="25" t="s">
        <v>126</v>
      </c>
      <c r="D163">
        <v>11</v>
      </c>
      <c r="E163">
        <v>2</v>
      </c>
    </row>
    <row r="164" spans="1:5" x14ac:dyDescent="0.35">
      <c r="A164" s="24" t="s">
        <v>1154</v>
      </c>
      <c r="B164" s="24">
        <v>3</v>
      </c>
      <c r="C164" s="25" t="s">
        <v>1131</v>
      </c>
      <c r="D164">
        <v>3</v>
      </c>
      <c r="E164">
        <v>3</v>
      </c>
    </row>
    <row r="165" spans="1:5" x14ac:dyDescent="0.35">
      <c r="A165" s="24" t="s">
        <v>1154</v>
      </c>
      <c r="B165" s="24">
        <v>4</v>
      </c>
      <c r="C165" s="25" t="s">
        <v>232</v>
      </c>
      <c r="D165">
        <v>13</v>
      </c>
      <c r="E165">
        <v>2</v>
      </c>
    </row>
    <row r="166" spans="1:5" x14ac:dyDescent="0.35">
      <c r="A166" s="24" t="s">
        <v>1154</v>
      </c>
      <c r="B166" s="24">
        <v>5</v>
      </c>
      <c r="C166" s="25" t="s">
        <v>1143</v>
      </c>
      <c r="D166">
        <v>10</v>
      </c>
      <c r="E166">
        <v>2</v>
      </c>
    </row>
    <row r="167" spans="1:5" x14ac:dyDescent="0.35">
      <c r="A167" s="24" t="s">
        <v>1154</v>
      </c>
      <c r="B167" s="24">
        <v>6</v>
      </c>
      <c r="C167" s="25" t="s">
        <v>330</v>
      </c>
      <c r="D167">
        <v>17</v>
      </c>
      <c r="E167">
        <v>2</v>
      </c>
    </row>
    <row r="168" spans="1:5" x14ac:dyDescent="0.35">
      <c r="A168" s="24" t="s">
        <v>1154</v>
      </c>
      <c r="B168" s="24">
        <v>7</v>
      </c>
      <c r="C168" s="25" t="s">
        <v>385</v>
      </c>
      <c r="D168">
        <v>5</v>
      </c>
      <c r="E168">
        <v>3</v>
      </c>
    </row>
    <row r="169" spans="1:5" x14ac:dyDescent="0.35">
      <c r="A169" s="24" t="s">
        <v>1154</v>
      </c>
      <c r="B169" s="24">
        <v>8</v>
      </c>
      <c r="C169" s="25" t="s">
        <v>438</v>
      </c>
      <c r="D169">
        <v>8</v>
      </c>
      <c r="E169">
        <v>3</v>
      </c>
    </row>
    <row r="170" spans="1:5" x14ac:dyDescent="0.35">
      <c r="A170" s="24" t="s">
        <v>1154</v>
      </c>
      <c r="B170" s="24">
        <v>9</v>
      </c>
      <c r="C170" s="25" t="s">
        <v>493</v>
      </c>
      <c r="D170">
        <v>12</v>
      </c>
      <c r="E170">
        <v>0</v>
      </c>
    </row>
    <row r="171" spans="1:5" x14ac:dyDescent="0.35">
      <c r="A171" s="24" t="s">
        <v>1154</v>
      </c>
      <c r="B171" s="24">
        <v>10</v>
      </c>
      <c r="C171" s="25" t="s">
        <v>543</v>
      </c>
      <c r="D171">
        <v>15</v>
      </c>
      <c r="E171">
        <v>0</v>
      </c>
    </row>
    <row r="172" spans="1:5" x14ac:dyDescent="0.35">
      <c r="A172" s="24" t="s">
        <v>1154</v>
      </c>
      <c r="B172" s="24">
        <v>11</v>
      </c>
      <c r="C172" s="25" t="s">
        <v>595</v>
      </c>
      <c r="D172">
        <v>16</v>
      </c>
      <c r="E172">
        <v>0</v>
      </c>
    </row>
    <row r="173" spans="1:5" x14ac:dyDescent="0.35">
      <c r="A173" s="24" t="s">
        <v>1154</v>
      </c>
      <c r="B173" s="24">
        <v>12</v>
      </c>
      <c r="C173" s="25" t="s">
        <v>642</v>
      </c>
      <c r="D173">
        <v>4</v>
      </c>
      <c r="E173">
        <v>1</v>
      </c>
    </row>
    <row r="174" spans="1:5" x14ac:dyDescent="0.35">
      <c r="A174" s="24" t="s">
        <v>1154</v>
      </c>
      <c r="B174" s="24">
        <v>13</v>
      </c>
      <c r="C174" s="25" t="s">
        <v>702</v>
      </c>
      <c r="D174">
        <v>2</v>
      </c>
      <c r="E174">
        <v>2</v>
      </c>
    </row>
    <row r="175" spans="1:5" x14ac:dyDescent="0.35">
      <c r="A175" s="24" t="s">
        <v>1154</v>
      </c>
      <c r="B175" s="24">
        <v>14</v>
      </c>
      <c r="C175" s="25" t="s">
        <v>749</v>
      </c>
      <c r="D175">
        <v>9</v>
      </c>
      <c r="E175">
        <v>2</v>
      </c>
    </row>
    <row r="176" spans="1:5" x14ac:dyDescent="0.35">
      <c r="A176" s="24" t="s">
        <v>1154</v>
      </c>
      <c r="B176" s="24">
        <v>15</v>
      </c>
      <c r="C176" s="25" t="s">
        <v>796</v>
      </c>
      <c r="D176">
        <v>14</v>
      </c>
      <c r="E176">
        <v>1</v>
      </c>
    </row>
    <row r="177" spans="1:5" x14ac:dyDescent="0.35">
      <c r="A177" s="24" t="s">
        <v>1154</v>
      </c>
      <c r="B177" s="24">
        <v>16</v>
      </c>
      <c r="C177" s="25" t="s">
        <v>854</v>
      </c>
      <c r="D177">
        <v>18</v>
      </c>
      <c r="E177">
        <v>0</v>
      </c>
    </row>
    <row r="178" spans="1:5" x14ac:dyDescent="0.35">
      <c r="A178" s="24" t="s">
        <v>1154</v>
      </c>
      <c r="B178" s="24">
        <v>17</v>
      </c>
      <c r="C178" s="25" t="s">
        <v>903</v>
      </c>
      <c r="D178">
        <v>7</v>
      </c>
      <c r="E178">
        <v>2</v>
      </c>
    </row>
    <row r="179" spans="1:5" x14ac:dyDescent="0.35">
      <c r="A179" s="24" t="s">
        <v>1154</v>
      </c>
      <c r="B179" s="24">
        <v>18</v>
      </c>
      <c r="C179" s="25" t="s">
        <v>1144</v>
      </c>
      <c r="D179">
        <v>6</v>
      </c>
      <c r="E179">
        <v>1</v>
      </c>
    </row>
    <row r="180" spans="1:5" x14ac:dyDescent="0.35">
      <c r="A180" s="24" t="s">
        <v>1154</v>
      </c>
      <c r="B180" s="24">
        <v>19</v>
      </c>
      <c r="C180" s="25" t="s">
        <v>1145</v>
      </c>
      <c r="D180">
        <v>19</v>
      </c>
      <c r="E180">
        <v>0</v>
      </c>
    </row>
    <row r="181" spans="1:5" x14ac:dyDescent="0.35">
      <c r="A181" s="24" t="s">
        <v>1154</v>
      </c>
      <c r="B181" s="24">
        <v>20</v>
      </c>
      <c r="C181" s="25" t="s">
        <v>1146</v>
      </c>
      <c r="D181">
        <v>20</v>
      </c>
      <c r="E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2B79-AE3C-496C-9CA7-ECB128BB571A}">
  <dimension ref="A1:S81"/>
  <sheetViews>
    <sheetView tabSelected="1" topLeftCell="D1" workbookViewId="0">
      <selection activeCell="L11" sqref="L11"/>
    </sheetView>
  </sheetViews>
  <sheetFormatPr defaultRowHeight="14.5" x14ac:dyDescent="0.35"/>
  <cols>
    <col min="2" max="2" width="10.453125" bestFit="1" customWidth="1"/>
    <col min="4" max="4" width="16.81640625" bestFit="1" customWidth="1"/>
    <col min="5" max="5" width="11.36328125" customWidth="1"/>
    <col min="6" max="6" width="16.81640625" bestFit="1" customWidth="1"/>
    <col min="7" max="7" width="12.08984375" customWidth="1"/>
    <col min="8" max="13" width="8.7265625" customWidth="1"/>
    <col min="14" max="14" width="13" customWidth="1"/>
    <col min="15" max="15" width="11.08984375" customWidth="1"/>
    <col min="16" max="16" width="11.81640625" bestFit="1" customWidth="1"/>
  </cols>
  <sheetData>
    <row r="1" spans="1:19" x14ac:dyDescent="0.35">
      <c r="A1" t="s">
        <v>1155</v>
      </c>
      <c r="B1" t="s">
        <v>1156</v>
      </c>
      <c r="C1" t="s">
        <v>1157</v>
      </c>
      <c r="D1" t="s">
        <v>1158</v>
      </c>
      <c r="E1" t="s">
        <v>1159</v>
      </c>
      <c r="F1" t="s">
        <v>1160</v>
      </c>
      <c r="G1" t="s">
        <v>1161</v>
      </c>
      <c r="H1" t="s">
        <v>1162</v>
      </c>
      <c r="I1" t="s">
        <v>1163</v>
      </c>
      <c r="J1" t="s">
        <v>1164</v>
      </c>
      <c r="K1" t="s">
        <v>1165</v>
      </c>
      <c r="L1" t="s">
        <v>1166</v>
      </c>
      <c r="M1" t="s">
        <v>1167</v>
      </c>
      <c r="N1" t="s">
        <v>1203</v>
      </c>
      <c r="O1" t="s">
        <v>1204</v>
      </c>
      <c r="P1" t="s">
        <v>1207</v>
      </c>
      <c r="Q1" t="s">
        <v>1208</v>
      </c>
      <c r="R1" t="s">
        <v>1205</v>
      </c>
      <c r="S1" t="s">
        <v>1206</v>
      </c>
    </row>
    <row r="2" spans="1:19" x14ac:dyDescent="0.35">
      <c r="A2">
        <v>1.01</v>
      </c>
      <c r="B2" s="26">
        <v>45884</v>
      </c>
      <c r="C2" s="27">
        <v>0.83333333333333337</v>
      </c>
      <c r="D2" t="s">
        <v>642</v>
      </c>
      <c r="E2">
        <v>12</v>
      </c>
      <c r="F2" t="s">
        <v>1131</v>
      </c>
      <c r="G2">
        <v>3</v>
      </c>
      <c r="H2">
        <v>4</v>
      </c>
      <c r="I2">
        <v>2</v>
      </c>
      <c r="J2" t="s">
        <v>1200</v>
      </c>
      <c r="K2">
        <v>2.2000000000000002</v>
      </c>
      <c r="L2">
        <v>1.7</v>
      </c>
      <c r="M2" t="s">
        <v>1168</v>
      </c>
      <c r="N2">
        <v>19</v>
      </c>
      <c r="O2">
        <v>10</v>
      </c>
      <c r="P2">
        <v>10</v>
      </c>
      <c r="Q2">
        <v>3</v>
      </c>
      <c r="R2">
        <v>7</v>
      </c>
      <c r="S2">
        <v>10</v>
      </c>
    </row>
    <row r="3" spans="1:19" x14ac:dyDescent="0.35">
      <c r="A3">
        <v>1.02</v>
      </c>
      <c r="B3" s="26">
        <v>45885</v>
      </c>
      <c r="C3" s="27">
        <v>0.52083333333333337</v>
      </c>
      <c r="D3" t="s">
        <v>126</v>
      </c>
      <c r="E3">
        <v>2</v>
      </c>
      <c r="F3" t="s">
        <v>796</v>
      </c>
      <c r="G3">
        <v>15</v>
      </c>
      <c r="H3">
        <v>0</v>
      </c>
      <c r="I3">
        <v>0</v>
      </c>
      <c r="J3" t="s">
        <v>1201</v>
      </c>
      <c r="K3">
        <v>0.2</v>
      </c>
      <c r="L3">
        <v>1.4</v>
      </c>
      <c r="M3" t="s">
        <v>1169</v>
      </c>
      <c r="N3">
        <v>3</v>
      </c>
      <c r="O3">
        <v>16</v>
      </c>
      <c r="P3">
        <v>3</v>
      </c>
      <c r="Q3">
        <v>3</v>
      </c>
      <c r="R3">
        <v>13</v>
      </c>
      <c r="S3">
        <v>11</v>
      </c>
    </row>
    <row r="4" spans="1:19" x14ac:dyDescent="0.35">
      <c r="A4">
        <v>1.03</v>
      </c>
      <c r="B4" s="26">
        <v>45885</v>
      </c>
      <c r="C4" s="27">
        <v>0.625</v>
      </c>
      <c r="D4" t="s">
        <v>280</v>
      </c>
      <c r="E4">
        <v>5</v>
      </c>
      <c r="F4" t="s">
        <v>543</v>
      </c>
      <c r="G4">
        <v>10</v>
      </c>
      <c r="H4">
        <v>1</v>
      </c>
      <c r="I4">
        <v>1</v>
      </c>
      <c r="J4" t="s">
        <v>1201</v>
      </c>
      <c r="K4">
        <v>1.5</v>
      </c>
      <c r="L4">
        <v>0.7</v>
      </c>
      <c r="M4" t="s">
        <v>1170</v>
      </c>
      <c r="N4">
        <v>10</v>
      </c>
      <c r="O4">
        <v>7</v>
      </c>
      <c r="P4">
        <v>4</v>
      </c>
      <c r="Q4">
        <v>2</v>
      </c>
      <c r="R4">
        <v>16</v>
      </c>
      <c r="S4">
        <v>15</v>
      </c>
    </row>
    <row r="5" spans="1:19" x14ac:dyDescent="0.35">
      <c r="A5">
        <v>1.04</v>
      </c>
      <c r="B5" s="26">
        <v>45885</v>
      </c>
      <c r="C5" s="27">
        <v>0.625</v>
      </c>
      <c r="D5" t="s">
        <v>903</v>
      </c>
      <c r="E5">
        <v>17</v>
      </c>
      <c r="F5" t="s">
        <v>1132</v>
      </c>
      <c r="G5">
        <v>19</v>
      </c>
      <c r="H5">
        <v>3</v>
      </c>
      <c r="I5">
        <v>0</v>
      </c>
      <c r="J5" t="s">
        <v>1200</v>
      </c>
      <c r="K5">
        <v>0.7</v>
      </c>
      <c r="L5">
        <v>0.6</v>
      </c>
      <c r="M5" t="s">
        <v>1171</v>
      </c>
      <c r="N5">
        <v>10</v>
      </c>
      <c r="O5">
        <v>12</v>
      </c>
      <c r="P5">
        <v>5</v>
      </c>
      <c r="Q5">
        <v>4</v>
      </c>
      <c r="R5">
        <v>8</v>
      </c>
      <c r="S5">
        <v>10</v>
      </c>
    </row>
    <row r="6" spans="1:19" x14ac:dyDescent="0.35">
      <c r="A6">
        <v>1.05</v>
      </c>
      <c r="B6" s="26">
        <v>45885</v>
      </c>
      <c r="C6" s="27">
        <v>0.625</v>
      </c>
      <c r="D6" t="s">
        <v>952</v>
      </c>
      <c r="E6">
        <v>18</v>
      </c>
      <c r="F6" t="s">
        <v>330</v>
      </c>
      <c r="G6">
        <v>6</v>
      </c>
      <c r="H6">
        <v>3</v>
      </c>
      <c r="I6">
        <v>0</v>
      </c>
      <c r="J6" t="s">
        <v>1200</v>
      </c>
      <c r="K6">
        <v>2.2999999999999998</v>
      </c>
      <c r="L6">
        <v>0.9</v>
      </c>
      <c r="M6" t="s">
        <v>1172</v>
      </c>
      <c r="N6">
        <v>16</v>
      </c>
      <c r="O6">
        <v>14</v>
      </c>
      <c r="P6">
        <v>6</v>
      </c>
      <c r="Q6">
        <v>4</v>
      </c>
      <c r="R6">
        <v>14</v>
      </c>
      <c r="S6">
        <v>8</v>
      </c>
    </row>
    <row r="7" spans="1:19" x14ac:dyDescent="0.35">
      <c r="A7">
        <v>1.06</v>
      </c>
      <c r="B7" s="26">
        <v>45885</v>
      </c>
      <c r="C7" s="27">
        <v>0.72916666666666663</v>
      </c>
      <c r="D7" t="s">
        <v>1049</v>
      </c>
      <c r="E7">
        <v>20</v>
      </c>
      <c r="F7" t="s">
        <v>702</v>
      </c>
      <c r="G7">
        <v>13</v>
      </c>
      <c r="H7">
        <v>0</v>
      </c>
      <c r="I7">
        <v>4</v>
      </c>
      <c r="J7" t="s">
        <v>1202</v>
      </c>
      <c r="K7">
        <v>0.6</v>
      </c>
      <c r="L7">
        <v>2.4</v>
      </c>
      <c r="M7" t="s">
        <v>1173</v>
      </c>
      <c r="N7">
        <v>9</v>
      </c>
      <c r="O7">
        <v>15</v>
      </c>
      <c r="P7">
        <v>3</v>
      </c>
      <c r="Q7">
        <v>4</v>
      </c>
      <c r="R7">
        <v>13</v>
      </c>
      <c r="S7">
        <v>7</v>
      </c>
    </row>
    <row r="8" spans="1:19" x14ac:dyDescent="0.35">
      <c r="A8">
        <v>1.07</v>
      </c>
      <c r="B8" s="26">
        <v>45886</v>
      </c>
      <c r="C8" s="27">
        <v>0.58333333333333337</v>
      </c>
      <c r="D8" t="s">
        <v>385</v>
      </c>
      <c r="E8">
        <v>7</v>
      </c>
      <c r="F8" t="s">
        <v>438</v>
      </c>
      <c r="G8">
        <v>8</v>
      </c>
      <c r="H8">
        <v>0</v>
      </c>
      <c r="I8">
        <v>0</v>
      </c>
      <c r="J8" t="s">
        <v>1201</v>
      </c>
      <c r="K8">
        <v>1.6</v>
      </c>
      <c r="L8">
        <v>0.6</v>
      </c>
      <c r="M8" t="s">
        <v>1174</v>
      </c>
      <c r="N8">
        <v>19</v>
      </c>
      <c r="O8">
        <v>12</v>
      </c>
      <c r="P8">
        <v>3</v>
      </c>
      <c r="Q8">
        <v>4</v>
      </c>
      <c r="R8">
        <v>10</v>
      </c>
      <c r="S8">
        <v>12</v>
      </c>
    </row>
    <row r="9" spans="1:19" x14ac:dyDescent="0.35">
      <c r="A9">
        <v>1.08</v>
      </c>
      <c r="B9" s="26">
        <v>45886</v>
      </c>
      <c r="C9" s="27">
        <v>0.58333333333333337</v>
      </c>
      <c r="D9" t="s">
        <v>854</v>
      </c>
      <c r="E9">
        <v>16</v>
      </c>
      <c r="F9" t="s">
        <v>232</v>
      </c>
      <c r="G9">
        <v>4</v>
      </c>
      <c r="H9">
        <v>3</v>
      </c>
      <c r="I9">
        <v>1</v>
      </c>
      <c r="J9" t="s">
        <v>1200</v>
      </c>
      <c r="K9">
        <v>1.8</v>
      </c>
      <c r="L9">
        <v>1.4</v>
      </c>
      <c r="M9" t="s">
        <v>1175</v>
      </c>
      <c r="N9">
        <v>11</v>
      </c>
      <c r="O9">
        <v>10</v>
      </c>
      <c r="P9">
        <v>5</v>
      </c>
      <c r="Q9">
        <v>3</v>
      </c>
      <c r="R9">
        <v>7</v>
      </c>
      <c r="S9">
        <v>15</v>
      </c>
    </row>
    <row r="10" spans="1:19" x14ac:dyDescent="0.35">
      <c r="A10">
        <v>1.0900000000000001</v>
      </c>
      <c r="B10" s="26">
        <v>45886</v>
      </c>
      <c r="C10" s="27">
        <v>0.6875</v>
      </c>
      <c r="D10" t="s">
        <v>749</v>
      </c>
      <c r="E10">
        <v>14</v>
      </c>
      <c r="F10" t="s">
        <v>61</v>
      </c>
      <c r="G10">
        <v>1</v>
      </c>
      <c r="H10">
        <v>0</v>
      </c>
      <c r="I10">
        <v>1</v>
      </c>
      <c r="J10" t="s">
        <v>1202</v>
      </c>
      <c r="K10">
        <v>1.5</v>
      </c>
      <c r="L10">
        <v>1.3</v>
      </c>
      <c r="M10" t="s">
        <v>1176</v>
      </c>
      <c r="N10">
        <v>22</v>
      </c>
      <c r="O10">
        <v>9</v>
      </c>
      <c r="P10">
        <v>7</v>
      </c>
      <c r="Q10">
        <v>3</v>
      </c>
      <c r="R10">
        <v>10</v>
      </c>
      <c r="S10">
        <v>19</v>
      </c>
    </row>
    <row r="11" spans="1:19" x14ac:dyDescent="0.35">
      <c r="A11">
        <v>1.1000000000000001</v>
      </c>
      <c r="B11" s="26">
        <v>45887</v>
      </c>
      <c r="C11" s="27">
        <v>0.83333333333333337</v>
      </c>
      <c r="D11" t="s">
        <v>1177</v>
      </c>
      <c r="E11">
        <v>10</v>
      </c>
      <c r="F11" t="s">
        <v>493</v>
      </c>
      <c r="G11">
        <v>9</v>
      </c>
      <c r="H11">
        <v>1</v>
      </c>
      <c r="I11">
        <v>0</v>
      </c>
      <c r="J11" t="s">
        <v>1200</v>
      </c>
      <c r="K11">
        <v>2</v>
      </c>
      <c r="L11">
        <v>0.8</v>
      </c>
      <c r="M11" t="s">
        <v>1178</v>
      </c>
      <c r="N11">
        <v>21</v>
      </c>
      <c r="O11">
        <v>7</v>
      </c>
      <c r="P11">
        <v>3</v>
      </c>
      <c r="Q11">
        <v>1</v>
      </c>
      <c r="R11">
        <v>6</v>
      </c>
      <c r="S11">
        <v>8</v>
      </c>
    </row>
    <row r="12" spans="1:19" x14ac:dyDescent="0.35">
      <c r="A12">
        <v>1.1100000000000001</v>
      </c>
      <c r="B12" s="26">
        <v>45891</v>
      </c>
      <c r="C12" s="27">
        <v>0.83333333333333337</v>
      </c>
      <c r="D12" t="s">
        <v>1132</v>
      </c>
      <c r="E12">
        <v>19</v>
      </c>
      <c r="F12" t="s">
        <v>385</v>
      </c>
      <c r="G12">
        <v>7</v>
      </c>
      <c r="H12">
        <v>1</v>
      </c>
      <c r="I12">
        <v>5</v>
      </c>
      <c r="J12" t="s">
        <v>1202</v>
      </c>
      <c r="K12">
        <v>0.7</v>
      </c>
      <c r="L12">
        <v>2.7</v>
      </c>
      <c r="M12" t="s">
        <v>1172</v>
      </c>
      <c r="N12">
        <v>12</v>
      </c>
      <c r="O12">
        <v>12</v>
      </c>
      <c r="P12">
        <v>4</v>
      </c>
      <c r="Q12">
        <v>7</v>
      </c>
      <c r="R12">
        <v>7</v>
      </c>
      <c r="S12">
        <v>10</v>
      </c>
    </row>
    <row r="13" spans="1:19" x14ac:dyDescent="0.35">
      <c r="A13">
        <v>1.1200000000000001</v>
      </c>
      <c r="B13" s="26">
        <v>45892</v>
      </c>
      <c r="C13" s="27">
        <v>0.52083333333333337</v>
      </c>
      <c r="D13" t="s">
        <v>702</v>
      </c>
      <c r="E13">
        <v>13</v>
      </c>
      <c r="F13" t="s">
        <v>952</v>
      </c>
      <c r="G13">
        <v>18</v>
      </c>
      <c r="H13">
        <v>0</v>
      </c>
      <c r="I13">
        <v>2</v>
      </c>
      <c r="J13" t="s">
        <v>1202</v>
      </c>
      <c r="K13">
        <v>1.6</v>
      </c>
      <c r="L13">
        <v>1.1000000000000001</v>
      </c>
      <c r="M13" t="s">
        <v>1175</v>
      </c>
      <c r="N13">
        <v>10</v>
      </c>
      <c r="O13">
        <v>12</v>
      </c>
      <c r="P13">
        <v>4</v>
      </c>
      <c r="Q13">
        <v>5</v>
      </c>
      <c r="R13">
        <v>7</v>
      </c>
      <c r="S13">
        <v>12</v>
      </c>
    </row>
    <row r="14" spans="1:19" x14ac:dyDescent="0.35">
      <c r="A14">
        <v>1.1299999999999999</v>
      </c>
      <c r="B14" s="26">
        <v>45892</v>
      </c>
      <c r="C14" s="27">
        <v>0.625</v>
      </c>
      <c r="D14" t="s">
        <v>1131</v>
      </c>
      <c r="E14">
        <v>3</v>
      </c>
      <c r="F14" t="s">
        <v>1049</v>
      </c>
      <c r="G14">
        <v>20</v>
      </c>
      <c r="H14">
        <v>1</v>
      </c>
      <c r="I14">
        <v>0</v>
      </c>
      <c r="J14" t="s">
        <v>1200</v>
      </c>
      <c r="K14">
        <v>1.3</v>
      </c>
      <c r="L14">
        <v>0.5</v>
      </c>
      <c r="M14" t="s">
        <v>1179</v>
      </c>
      <c r="N14">
        <v>14</v>
      </c>
      <c r="O14">
        <v>6</v>
      </c>
      <c r="P14">
        <v>4</v>
      </c>
      <c r="Q14">
        <v>1</v>
      </c>
      <c r="R14">
        <v>13</v>
      </c>
      <c r="S14">
        <v>16</v>
      </c>
    </row>
    <row r="15" spans="1:19" x14ac:dyDescent="0.35">
      <c r="A15">
        <v>1.1399999999999999</v>
      </c>
      <c r="B15" s="26">
        <v>45892</v>
      </c>
      <c r="C15" s="27">
        <v>0.625</v>
      </c>
      <c r="D15" t="s">
        <v>232</v>
      </c>
      <c r="E15">
        <v>4</v>
      </c>
      <c r="F15" t="s">
        <v>126</v>
      </c>
      <c r="G15">
        <v>2</v>
      </c>
      <c r="H15">
        <v>1</v>
      </c>
      <c r="I15">
        <v>0</v>
      </c>
      <c r="J15" t="s">
        <v>1200</v>
      </c>
      <c r="K15">
        <v>1.2</v>
      </c>
      <c r="L15">
        <v>1.2</v>
      </c>
      <c r="M15" t="s">
        <v>1180</v>
      </c>
      <c r="N15">
        <v>9</v>
      </c>
      <c r="O15">
        <v>17</v>
      </c>
      <c r="P15">
        <v>2</v>
      </c>
      <c r="Q15">
        <v>2</v>
      </c>
      <c r="R15">
        <v>11</v>
      </c>
      <c r="S15">
        <v>9</v>
      </c>
    </row>
    <row r="16" spans="1:19" x14ac:dyDescent="0.35">
      <c r="A16">
        <v>1.1499999999999999</v>
      </c>
      <c r="B16" s="26">
        <v>45892</v>
      </c>
      <c r="C16" s="27">
        <v>0.625</v>
      </c>
      <c r="D16" t="s">
        <v>330</v>
      </c>
      <c r="E16">
        <v>6</v>
      </c>
      <c r="F16" t="s">
        <v>903</v>
      </c>
      <c r="G16">
        <v>17</v>
      </c>
      <c r="H16">
        <v>2</v>
      </c>
      <c r="I16">
        <v>0</v>
      </c>
      <c r="J16" t="s">
        <v>1200</v>
      </c>
      <c r="K16">
        <v>1</v>
      </c>
      <c r="L16">
        <v>0.8</v>
      </c>
      <c r="M16" t="s">
        <v>1181</v>
      </c>
      <c r="N16">
        <v>7</v>
      </c>
      <c r="O16">
        <v>9</v>
      </c>
      <c r="P16">
        <v>2</v>
      </c>
      <c r="Q16">
        <v>1</v>
      </c>
      <c r="R16">
        <v>9</v>
      </c>
      <c r="S16">
        <v>5</v>
      </c>
    </row>
    <row r="17" spans="1:19" x14ac:dyDescent="0.35">
      <c r="A17">
        <v>1.1599999999999999</v>
      </c>
      <c r="B17" s="26">
        <v>45892</v>
      </c>
      <c r="C17" s="27">
        <v>0.72916666666666663</v>
      </c>
      <c r="D17" t="s">
        <v>61</v>
      </c>
      <c r="E17">
        <v>1</v>
      </c>
      <c r="F17" t="s">
        <v>1177</v>
      </c>
      <c r="G17">
        <v>10</v>
      </c>
      <c r="H17">
        <v>5</v>
      </c>
      <c r="I17">
        <v>0</v>
      </c>
      <c r="J17" t="s">
        <v>1200</v>
      </c>
      <c r="K17">
        <v>2.7</v>
      </c>
      <c r="L17">
        <v>0.2</v>
      </c>
      <c r="M17" t="s">
        <v>1173</v>
      </c>
      <c r="N17">
        <v>18</v>
      </c>
      <c r="O17">
        <v>3</v>
      </c>
      <c r="P17">
        <v>5</v>
      </c>
      <c r="Q17">
        <v>1</v>
      </c>
      <c r="R17">
        <v>8</v>
      </c>
      <c r="S17">
        <v>11</v>
      </c>
    </row>
    <row r="18" spans="1:19" x14ac:dyDescent="0.35">
      <c r="A18">
        <v>1.17</v>
      </c>
      <c r="B18" s="26">
        <v>45893</v>
      </c>
      <c r="C18" s="27">
        <v>0.58333333333333337</v>
      </c>
      <c r="D18" t="s">
        <v>438</v>
      </c>
      <c r="E18">
        <v>8</v>
      </c>
      <c r="F18" t="s">
        <v>854</v>
      </c>
      <c r="G18">
        <v>16</v>
      </c>
      <c r="H18">
        <v>1</v>
      </c>
      <c r="I18">
        <v>1</v>
      </c>
      <c r="J18" t="s">
        <v>1201</v>
      </c>
      <c r="K18">
        <v>1.1000000000000001</v>
      </c>
      <c r="L18">
        <v>0.9</v>
      </c>
      <c r="M18" t="s">
        <v>1168</v>
      </c>
      <c r="N18">
        <v>8</v>
      </c>
      <c r="O18">
        <v>9</v>
      </c>
      <c r="P18">
        <v>4</v>
      </c>
      <c r="Q18">
        <v>1</v>
      </c>
      <c r="R18">
        <v>11</v>
      </c>
      <c r="S18">
        <v>11</v>
      </c>
    </row>
    <row r="19" spans="1:19" x14ac:dyDescent="0.35">
      <c r="A19">
        <v>1.18</v>
      </c>
      <c r="B19" s="26">
        <v>45893</v>
      </c>
      <c r="C19" s="27">
        <v>0.58333333333333337</v>
      </c>
      <c r="D19" t="s">
        <v>493</v>
      </c>
      <c r="E19">
        <v>9</v>
      </c>
      <c r="F19" t="s">
        <v>280</v>
      </c>
      <c r="G19">
        <v>5</v>
      </c>
      <c r="H19">
        <v>2</v>
      </c>
      <c r="I19">
        <v>0</v>
      </c>
      <c r="J19" t="s">
        <v>1200</v>
      </c>
      <c r="K19">
        <v>1.6</v>
      </c>
      <c r="L19">
        <v>2.4</v>
      </c>
      <c r="M19" t="s">
        <v>1182</v>
      </c>
      <c r="N19">
        <v>11</v>
      </c>
      <c r="O19">
        <v>13</v>
      </c>
      <c r="P19">
        <v>3</v>
      </c>
      <c r="Q19">
        <v>4</v>
      </c>
      <c r="R19">
        <v>7</v>
      </c>
      <c r="S19">
        <v>15</v>
      </c>
    </row>
    <row r="20" spans="1:19" x14ac:dyDescent="0.35">
      <c r="A20">
        <v>1.19</v>
      </c>
      <c r="B20" s="26">
        <v>45893</v>
      </c>
      <c r="C20" s="27">
        <v>0.6875</v>
      </c>
      <c r="D20" t="s">
        <v>543</v>
      </c>
      <c r="E20">
        <v>10</v>
      </c>
      <c r="F20" t="s">
        <v>749</v>
      </c>
      <c r="G20">
        <v>14</v>
      </c>
      <c r="H20">
        <v>1</v>
      </c>
      <c r="I20">
        <v>1</v>
      </c>
      <c r="J20" t="s">
        <v>1201</v>
      </c>
      <c r="K20">
        <v>1.7</v>
      </c>
      <c r="L20">
        <v>1.6</v>
      </c>
      <c r="M20" t="s">
        <v>1178</v>
      </c>
      <c r="N20">
        <v>13</v>
      </c>
      <c r="O20">
        <v>10</v>
      </c>
      <c r="P20">
        <v>4</v>
      </c>
      <c r="Q20">
        <v>3</v>
      </c>
      <c r="R20">
        <v>12</v>
      </c>
      <c r="S20">
        <v>10</v>
      </c>
    </row>
    <row r="21" spans="1:19" x14ac:dyDescent="0.35">
      <c r="A21">
        <v>1.2</v>
      </c>
      <c r="B21" s="26">
        <v>45894</v>
      </c>
      <c r="C21" s="27">
        <v>0.83333333333333337</v>
      </c>
      <c r="D21" t="s">
        <v>796</v>
      </c>
      <c r="E21">
        <v>15</v>
      </c>
      <c r="F21" t="s">
        <v>642</v>
      </c>
      <c r="G21">
        <v>12</v>
      </c>
      <c r="H21">
        <v>2</v>
      </c>
      <c r="I21">
        <v>3</v>
      </c>
      <c r="J21" t="s">
        <v>1202</v>
      </c>
      <c r="K21">
        <v>1</v>
      </c>
      <c r="L21">
        <v>0.7</v>
      </c>
      <c r="M21" t="s">
        <v>1176</v>
      </c>
      <c r="N21">
        <v>10</v>
      </c>
      <c r="O21">
        <v>5</v>
      </c>
      <c r="P21">
        <v>3</v>
      </c>
      <c r="Q21">
        <v>4</v>
      </c>
      <c r="R21">
        <v>17</v>
      </c>
      <c r="S21">
        <v>15</v>
      </c>
    </row>
    <row r="22" spans="1:19" x14ac:dyDescent="0.35">
      <c r="A22">
        <v>1.21</v>
      </c>
      <c r="B22" s="26">
        <v>45899</v>
      </c>
      <c r="C22" s="27">
        <v>0.52083333333333337</v>
      </c>
      <c r="D22" t="s">
        <v>385</v>
      </c>
      <c r="E22">
        <v>7</v>
      </c>
      <c r="F22" t="s">
        <v>543</v>
      </c>
      <c r="G22">
        <v>10</v>
      </c>
      <c r="H22">
        <v>2</v>
      </c>
      <c r="I22">
        <v>0</v>
      </c>
      <c r="J22" t="s">
        <v>1200</v>
      </c>
      <c r="K22">
        <v>2.1</v>
      </c>
      <c r="L22">
        <v>0.9</v>
      </c>
      <c r="M22" t="s">
        <v>1171</v>
      </c>
      <c r="N22">
        <v>13</v>
      </c>
      <c r="O22">
        <v>11</v>
      </c>
      <c r="P22">
        <v>6</v>
      </c>
      <c r="Q22">
        <v>3</v>
      </c>
      <c r="R22">
        <v>11</v>
      </c>
      <c r="S22">
        <v>17</v>
      </c>
    </row>
    <row r="23" spans="1:19" x14ac:dyDescent="0.35">
      <c r="A23">
        <v>1.22</v>
      </c>
      <c r="B23" s="26">
        <v>45899</v>
      </c>
      <c r="C23" s="27">
        <v>0.625</v>
      </c>
      <c r="D23" t="s">
        <v>749</v>
      </c>
      <c r="E23">
        <v>14</v>
      </c>
      <c r="F23" t="s">
        <v>330</v>
      </c>
      <c r="G23">
        <v>6</v>
      </c>
      <c r="H23">
        <v>3</v>
      </c>
      <c r="I23">
        <v>2</v>
      </c>
      <c r="J23" t="s">
        <v>1200</v>
      </c>
      <c r="K23">
        <v>3.6</v>
      </c>
      <c r="L23">
        <v>1.2</v>
      </c>
      <c r="M23" t="s">
        <v>1170</v>
      </c>
      <c r="N23">
        <v>26</v>
      </c>
      <c r="O23">
        <v>6</v>
      </c>
      <c r="P23">
        <v>6</v>
      </c>
      <c r="Q23">
        <v>3</v>
      </c>
      <c r="R23">
        <v>9</v>
      </c>
      <c r="S23">
        <v>9</v>
      </c>
    </row>
    <row r="24" spans="1:19" x14ac:dyDescent="0.35">
      <c r="A24">
        <v>1.23</v>
      </c>
      <c r="B24" s="26">
        <v>45899</v>
      </c>
      <c r="C24" s="27">
        <v>0.625</v>
      </c>
      <c r="D24" t="s">
        <v>903</v>
      </c>
      <c r="E24">
        <v>17</v>
      </c>
      <c r="F24" t="s">
        <v>232</v>
      </c>
      <c r="G24">
        <v>4</v>
      </c>
      <c r="H24">
        <v>2</v>
      </c>
      <c r="I24">
        <v>1</v>
      </c>
      <c r="J24" t="s">
        <v>1200</v>
      </c>
      <c r="K24">
        <v>1.5</v>
      </c>
      <c r="L24">
        <v>1.2</v>
      </c>
      <c r="M24" t="s">
        <v>1168</v>
      </c>
      <c r="N24">
        <v>12</v>
      </c>
      <c r="O24">
        <v>7</v>
      </c>
      <c r="P24">
        <v>3</v>
      </c>
      <c r="Q24">
        <v>4</v>
      </c>
      <c r="R24">
        <v>11</v>
      </c>
      <c r="S24">
        <v>12</v>
      </c>
    </row>
    <row r="25" spans="1:19" x14ac:dyDescent="0.35">
      <c r="A25">
        <v>1.24</v>
      </c>
      <c r="B25" s="26">
        <v>45899</v>
      </c>
      <c r="C25" s="27">
        <v>0.625</v>
      </c>
      <c r="D25" t="s">
        <v>952</v>
      </c>
      <c r="E25">
        <v>18</v>
      </c>
      <c r="F25" t="s">
        <v>1131</v>
      </c>
      <c r="G25">
        <v>3</v>
      </c>
      <c r="H25">
        <v>0</v>
      </c>
      <c r="I25">
        <v>1</v>
      </c>
      <c r="J25" t="s">
        <v>1202</v>
      </c>
      <c r="K25">
        <v>0.2</v>
      </c>
      <c r="L25">
        <v>1.5</v>
      </c>
      <c r="M25" t="s">
        <v>1176</v>
      </c>
      <c r="N25">
        <v>5</v>
      </c>
      <c r="O25">
        <v>20</v>
      </c>
      <c r="P25">
        <v>1</v>
      </c>
      <c r="Q25">
        <v>6</v>
      </c>
      <c r="R25">
        <v>17</v>
      </c>
      <c r="S25">
        <v>13</v>
      </c>
    </row>
    <row r="26" spans="1:19" x14ac:dyDescent="0.35">
      <c r="A26">
        <v>1.25</v>
      </c>
      <c r="B26" s="26">
        <v>45899</v>
      </c>
      <c r="C26" s="27">
        <v>0.625</v>
      </c>
      <c r="D26" t="s">
        <v>1049</v>
      </c>
      <c r="E26">
        <v>20</v>
      </c>
      <c r="F26" t="s">
        <v>493</v>
      </c>
      <c r="G26">
        <v>9</v>
      </c>
      <c r="H26">
        <v>2</v>
      </c>
      <c r="I26">
        <v>3</v>
      </c>
      <c r="J26" t="s">
        <v>1202</v>
      </c>
      <c r="K26">
        <v>1.1000000000000001</v>
      </c>
      <c r="L26">
        <v>1.9</v>
      </c>
      <c r="M26" t="s">
        <v>1172</v>
      </c>
      <c r="N26">
        <v>12</v>
      </c>
      <c r="O26">
        <v>10</v>
      </c>
      <c r="P26">
        <v>4</v>
      </c>
      <c r="Q26">
        <v>4</v>
      </c>
      <c r="R26">
        <v>15</v>
      </c>
      <c r="S26">
        <v>10</v>
      </c>
    </row>
    <row r="27" spans="1:19" x14ac:dyDescent="0.35">
      <c r="A27">
        <v>1.26</v>
      </c>
      <c r="B27" s="26">
        <v>45899</v>
      </c>
      <c r="C27" s="27">
        <v>0.72916666666666663</v>
      </c>
      <c r="D27" t="s">
        <v>1177</v>
      </c>
      <c r="E27">
        <v>10</v>
      </c>
      <c r="F27" t="s">
        <v>796</v>
      </c>
      <c r="G27">
        <v>15</v>
      </c>
      <c r="H27">
        <v>0</v>
      </c>
      <c r="I27">
        <v>0</v>
      </c>
      <c r="J27" t="s">
        <v>1201</v>
      </c>
      <c r="K27">
        <v>0.7</v>
      </c>
      <c r="L27">
        <v>0.5</v>
      </c>
      <c r="M27" t="s">
        <v>1175</v>
      </c>
      <c r="N27">
        <v>10</v>
      </c>
      <c r="O27">
        <v>8</v>
      </c>
      <c r="P27">
        <v>1</v>
      </c>
      <c r="Q27">
        <v>2</v>
      </c>
      <c r="R27">
        <v>10</v>
      </c>
      <c r="S27">
        <v>15</v>
      </c>
    </row>
    <row r="28" spans="1:19" x14ac:dyDescent="0.35">
      <c r="A28">
        <v>1.27</v>
      </c>
      <c r="B28" s="26">
        <v>45900</v>
      </c>
      <c r="C28" s="27">
        <v>0.58333333333333337</v>
      </c>
      <c r="D28" t="s">
        <v>280</v>
      </c>
      <c r="E28">
        <v>5</v>
      </c>
      <c r="F28" t="s">
        <v>702</v>
      </c>
      <c r="G28">
        <v>13</v>
      </c>
      <c r="H28">
        <v>2</v>
      </c>
      <c r="I28">
        <v>1</v>
      </c>
      <c r="J28" t="s">
        <v>1200</v>
      </c>
      <c r="K28">
        <v>2.2000000000000002</v>
      </c>
      <c r="L28">
        <v>1.8</v>
      </c>
      <c r="M28" t="s">
        <v>1174</v>
      </c>
      <c r="N28">
        <v>12</v>
      </c>
      <c r="O28">
        <v>12</v>
      </c>
      <c r="P28">
        <v>7</v>
      </c>
      <c r="Q28">
        <v>3</v>
      </c>
      <c r="R28">
        <v>16</v>
      </c>
      <c r="S28">
        <v>14</v>
      </c>
    </row>
    <row r="29" spans="1:19" x14ac:dyDescent="0.35">
      <c r="A29">
        <v>1.28</v>
      </c>
      <c r="B29" s="26">
        <v>45900</v>
      </c>
      <c r="C29" s="27">
        <v>0.58333333333333337</v>
      </c>
      <c r="D29" t="s">
        <v>854</v>
      </c>
      <c r="E29">
        <v>16</v>
      </c>
      <c r="F29" t="s">
        <v>1132</v>
      </c>
      <c r="G29">
        <v>19</v>
      </c>
      <c r="H29">
        <v>0</v>
      </c>
      <c r="I29">
        <v>3</v>
      </c>
      <c r="J29" t="s">
        <v>1202</v>
      </c>
      <c r="K29">
        <v>0.7</v>
      </c>
      <c r="L29">
        <v>2.4</v>
      </c>
      <c r="M29" t="s">
        <v>1169</v>
      </c>
      <c r="N29">
        <v>11</v>
      </c>
      <c r="O29">
        <v>12</v>
      </c>
      <c r="P29">
        <v>3</v>
      </c>
      <c r="Q29">
        <v>8</v>
      </c>
      <c r="R29">
        <v>14</v>
      </c>
      <c r="S29">
        <v>6</v>
      </c>
    </row>
    <row r="30" spans="1:19" x14ac:dyDescent="0.35">
      <c r="A30">
        <v>1.29</v>
      </c>
      <c r="B30" s="26">
        <v>45900</v>
      </c>
      <c r="C30" s="27">
        <v>0.6875</v>
      </c>
      <c r="D30" t="s">
        <v>642</v>
      </c>
      <c r="E30">
        <v>12</v>
      </c>
      <c r="F30" t="s">
        <v>61</v>
      </c>
      <c r="G30">
        <v>1</v>
      </c>
      <c r="H30">
        <v>1</v>
      </c>
      <c r="I30">
        <v>0</v>
      </c>
      <c r="J30" t="s">
        <v>1200</v>
      </c>
      <c r="K30">
        <v>0.5</v>
      </c>
      <c r="L30">
        <v>0.5</v>
      </c>
      <c r="M30" t="s">
        <v>1178</v>
      </c>
      <c r="N30">
        <v>9</v>
      </c>
      <c r="O30">
        <v>11</v>
      </c>
      <c r="P30">
        <v>3</v>
      </c>
      <c r="Q30">
        <v>1</v>
      </c>
      <c r="R30">
        <v>7</v>
      </c>
      <c r="S30">
        <v>10</v>
      </c>
    </row>
    <row r="31" spans="1:19" x14ac:dyDescent="0.35">
      <c r="A31">
        <v>1.3</v>
      </c>
      <c r="B31" s="26">
        <v>45900</v>
      </c>
      <c r="C31" s="27">
        <v>0.79166666666666663</v>
      </c>
      <c r="D31" t="s">
        <v>126</v>
      </c>
      <c r="E31">
        <v>2</v>
      </c>
      <c r="F31" t="s">
        <v>438</v>
      </c>
      <c r="G31">
        <v>8</v>
      </c>
      <c r="H31">
        <v>0</v>
      </c>
      <c r="I31">
        <v>3</v>
      </c>
      <c r="J31" t="s">
        <v>1202</v>
      </c>
      <c r="K31">
        <v>1.1000000000000001</v>
      </c>
      <c r="L31">
        <v>2.6</v>
      </c>
      <c r="M31" t="s">
        <v>1182</v>
      </c>
      <c r="N31">
        <v>13</v>
      </c>
      <c r="O31">
        <v>6</v>
      </c>
      <c r="P31">
        <v>4</v>
      </c>
      <c r="Q31">
        <v>4</v>
      </c>
      <c r="R31">
        <v>7</v>
      </c>
      <c r="S31">
        <v>14</v>
      </c>
    </row>
    <row r="32" spans="1:19" x14ac:dyDescent="0.35">
      <c r="A32">
        <v>1.31</v>
      </c>
      <c r="B32" s="26">
        <v>45913</v>
      </c>
      <c r="C32" s="27">
        <v>0.52083333333333337</v>
      </c>
      <c r="D32" t="s">
        <v>61</v>
      </c>
      <c r="E32">
        <v>1</v>
      </c>
      <c r="F32" t="s">
        <v>854</v>
      </c>
      <c r="G32">
        <v>16</v>
      </c>
      <c r="H32">
        <v>3</v>
      </c>
      <c r="I32">
        <v>0</v>
      </c>
      <c r="J32" t="s">
        <v>1200</v>
      </c>
      <c r="K32">
        <v>1.8</v>
      </c>
      <c r="L32">
        <v>0.2</v>
      </c>
      <c r="M32" t="s">
        <v>1174</v>
      </c>
      <c r="N32">
        <v>16</v>
      </c>
      <c r="O32">
        <v>5</v>
      </c>
      <c r="P32">
        <v>5</v>
      </c>
      <c r="Q32">
        <v>1</v>
      </c>
      <c r="R32">
        <v>8</v>
      </c>
      <c r="S32">
        <v>11</v>
      </c>
    </row>
    <row r="33" spans="1:19" x14ac:dyDescent="0.35">
      <c r="A33">
        <v>1.32</v>
      </c>
      <c r="B33" s="26">
        <v>45913</v>
      </c>
      <c r="C33" s="27">
        <v>0.625</v>
      </c>
      <c r="D33" t="s">
        <v>1131</v>
      </c>
      <c r="E33">
        <v>3</v>
      </c>
      <c r="F33" t="s">
        <v>280</v>
      </c>
      <c r="G33">
        <v>5</v>
      </c>
      <c r="H33">
        <v>2</v>
      </c>
      <c r="I33">
        <v>1</v>
      </c>
      <c r="J33" t="s">
        <v>1200</v>
      </c>
      <c r="K33">
        <v>1.4</v>
      </c>
      <c r="L33">
        <v>0.6</v>
      </c>
      <c r="M33" t="s">
        <v>1175</v>
      </c>
      <c r="N33">
        <v>13</v>
      </c>
      <c r="O33">
        <v>6</v>
      </c>
      <c r="P33">
        <v>5</v>
      </c>
      <c r="Q33">
        <v>2</v>
      </c>
      <c r="R33">
        <v>16</v>
      </c>
      <c r="S33">
        <v>10</v>
      </c>
    </row>
    <row r="34" spans="1:19" x14ac:dyDescent="0.35">
      <c r="A34">
        <v>1.33</v>
      </c>
      <c r="B34" s="26">
        <v>45913</v>
      </c>
      <c r="C34" s="27">
        <v>0.625</v>
      </c>
      <c r="D34" t="s">
        <v>438</v>
      </c>
      <c r="E34">
        <v>8</v>
      </c>
      <c r="F34" t="s">
        <v>903</v>
      </c>
      <c r="G34">
        <v>17</v>
      </c>
      <c r="H34">
        <v>0</v>
      </c>
      <c r="I34">
        <v>0</v>
      </c>
      <c r="J34" t="s">
        <v>1201</v>
      </c>
      <c r="K34">
        <v>1.8</v>
      </c>
      <c r="L34">
        <v>0.4</v>
      </c>
      <c r="M34" t="s">
        <v>1179</v>
      </c>
      <c r="N34">
        <v>14</v>
      </c>
      <c r="O34">
        <v>6</v>
      </c>
      <c r="P34">
        <v>6</v>
      </c>
      <c r="Q34">
        <v>0</v>
      </c>
      <c r="R34">
        <v>10</v>
      </c>
      <c r="S34">
        <v>8</v>
      </c>
    </row>
    <row r="35" spans="1:19" x14ac:dyDescent="0.35">
      <c r="A35">
        <v>1.34</v>
      </c>
      <c r="B35" s="26">
        <v>45913</v>
      </c>
      <c r="C35" s="27">
        <v>0.625</v>
      </c>
      <c r="D35" t="s">
        <v>493</v>
      </c>
      <c r="E35">
        <v>9</v>
      </c>
      <c r="F35" t="s">
        <v>126</v>
      </c>
      <c r="G35">
        <v>2</v>
      </c>
      <c r="H35">
        <v>0</v>
      </c>
      <c r="I35">
        <v>0</v>
      </c>
      <c r="J35" t="s">
        <v>1201</v>
      </c>
      <c r="K35">
        <v>2</v>
      </c>
      <c r="L35">
        <v>0.4</v>
      </c>
      <c r="M35" t="s">
        <v>1176</v>
      </c>
      <c r="N35">
        <v>20</v>
      </c>
      <c r="O35">
        <v>7</v>
      </c>
      <c r="P35">
        <v>2</v>
      </c>
      <c r="Q35">
        <v>1</v>
      </c>
      <c r="R35">
        <v>17</v>
      </c>
      <c r="S35">
        <v>15</v>
      </c>
    </row>
    <row r="36" spans="1:19" x14ac:dyDescent="0.35">
      <c r="A36">
        <v>1.35</v>
      </c>
      <c r="B36" s="26">
        <v>45913</v>
      </c>
      <c r="C36" s="27">
        <v>0.625</v>
      </c>
      <c r="D36" t="s">
        <v>543</v>
      </c>
      <c r="E36">
        <v>10</v>
      </c>
      <c r="F36" t="s">
        <v>1177</v>
      </c>
      <c r="G36">
        <v>10</v>
      </c>
      <c r="H36">
        <v>1</v>
      </c>
      <c r="I36">
        <v>0</v>
      </c>
      <c r="J36" t="s">
        <v>1200</v>
      </c>
      <c r="K36">
        <v>0.9</v>
      </c>
      <c r="L36">
        <v>0.8</v>
      </c>
      <c r="M36" t="s">
        <v>1169</v>
      </c>
      <c r="N36">
        <v>5</v>
      </c>
      <c r="O36">
        <v>10</v>
      </c>
      <c r="P36">
        <v>3</v>
      </c>
      <c r="Q36">
        <v>3</v>
      </c>
      <c r="R36">
        <v>20</v>
      </c>
      <c r="S36">
        <v>15</v>
      </c>
    </row>
    <row r="37" spans="1:19" x14ac:dyDescent="0.35">
      <c r="A37">
        <v>1.36</v>
      </c>
      <c r="B37" s="26">
        <v>45913</v>
      </c>
      <c r="C37" s="27">
        <v>0.625</v>
      </c>
      <c r="D37" t="s">
        <v>796</v>
      </c>
      <c r="E37">
        <v>15</v>
      </c>
      <c r="F37" t="s">
        <v>1049</v>
      </c>
      <c r="G37">
        <v>20</v>
      </c>
      <c r="H37">
        <v>1</v>
      </c>
      <c r="I37">
        <v>0</v>
      </c>
      <c r="J37" t="s">
        <v>1200</v>
      </c>
      <c r="K37">
        <v>1.5</v>
      </c>
      <c r="L37">
        <v>0.5</v>
      </c>
      <c r="M37" t="s">
        <v>1178</v>
      </c>
      <c r="N37">
        <v>16</v>
      </c>
      <c r="O37">
        <v>8</v>
      </c>
      <c r="P37">
        <v>4</v>
      </c>
      <c r="Q37">
        <v>3</v>
      </c>
      <c r="R37">
        <v>10</v>
      </c>
      <c r="S37">
        <v>17</v>
      </c>
    </row>
    <row r="38" spans="1:19" x14ac:dyDescent="0.35">
      <c r="A38">
        <v>1.37</v>
      </c>
      <c r="B38" s="26">
        <v>45913</v>
      </c>
      <c r="C38" s="27">
        <v>0.72916666666666663</v>
      </c>
      <c r="D38" t="s">
        <v>1132</v>
      </c>
      <c r="E38">
        <v>19</v>
      </c>
      <c r="F38" t="s">
        <v>952</v>
      </c>
      <c r="G38">
        <v>18</v>
      </c>
      <c r="H38">
        <v>0</v>
      </c>
      <c r="I38">
        <v>3</v>
      </c>
      <c r="J38" t="s">
        <v>1202</v>
      </c>
      <c r="K38">
        <v>0.6</v>
      </c>
      <c r="L38">
        <v>1.3</v>
      </c>
      <c r="M38" t="s">
        <v>1173</v>
      </c>
      <c r="N38">
        <v>7</v>
      </c>
      <c r="O38">
        <v>14</v>
      </c>
      <c r="P38">
        <v>4</v>
      </c>
      <c r="Q38">
        <v>5</v>
      </c>
      <c r="R38">
        <v>8</v>
      </c>
      <c r="S38">
        <v>7</v>
      </c>
    </row>
    <row r="39" spans="1:19" x14ac:dyDescent="0.35">
      <c r="A39">
        <v>1.38</v>
      </c>
      <c r="B39" s="26">
        <v>45913</v>
      </c>
      <c r="C39" s="27">
        <v>0.83333333333333337</v>
      </c>
      <c r="D39" t="s">
        <v>232</v>
      </c>
      <c r="E39">
        <v>4</v>
      </c>
      <c r="F39" t="s">
        <v>385</v>
      </c>
      <c r="G39">
        <v>7</v>
      </c>
      <c r="H39">
        <v>2</v>
      </c>
      <c r="I39">
        <v>2</v>
      </c>
      <c r="J39" t="s">
        <v>1201</v>
      </c>
      <c r="K39">
        <v>1.4</v>
      </c>
      <c r="L39">
        <v>1.3</v>
      </c>
      <c r="M39" t="s">
        <v>1182</v>
      </c>
      <c r="N39">
        <v>7</v>
      </c>
      <c r="O39">
        <v>16</v>
      </c>
      <c r="P39">
        <v>4</v>
      </c>
      <c r="Q39">
        <v>6</v>
      </c>
      <c r="R39">
        <v>13</v>
      </c>
      <c r="S39">
        <v>9</v>
      </c>
    </row>
    <row r="40" spans="1:19" x14ac:dyDescent="0.35">
      <c r="A40">
        <v>1.39</v>
      </c>
      <c r="B40" s="26">
        <v>45914</v>
      </c>
      <c r="C40" s="27">
        <v>0.58333333333333337</v>
      </c>
      <c r="D40" t="s">
        <v>330</v>
      </c>
      <c r="E40">
        <v>6</v>
      </c>
      <c r="F40" t="s">
        <v>642</v>
      </c>
      <c r="G40">
        <v>12</v>
      </c>
      <c r="H40">
        <v>0</v>
      </c>
      <c r="I40">
        <v>1</v>
      </c>
      <c r="J40" t="s">
        <v>1202</v>
      </c>
      <c r="K40">
        <v>0.1</v>
      </c>
      <c r="L40">
        <v>2.6</v>
      </c>
      <c r="M40" t="s">
        <v>1172</v>
      </c>
      <c r="N40">
        <v>3</v>
      </c>
      <c r="O40">
        <v>27</v>
      </c>
      <c r="P40">
        <v>0</v>
      </c>
      <c r="Q40">
        <v>4</v>
      </c>
      <c r="R40">
        <v>9</v>
      </c>
      <c r="S40">
        <v>9</v>
      </c>
    </row>
    <row r="41" spans="1:19" x14ac:dyDescent="0.35">
      <c r="A41">
        <v>1.4</v>
      </c>
      <c r="B41" s="26">
        <v>45914</v>
      </c>
      <c r="C41" s="27">
        <v>0.6875</v>
      </c>
      <c r="D41" t="s">
        <v>702</v>
      </c>
      <c r="E41">
        <v>13</v>
      </c>
      <c r="F41" t="s">
        <v>749</v>
      </c>
      <c r="G41">
        <v>14</v>
      </c>
      <c r="H41">
        <v>3</v>
      </c>
      <c r="I41">
        <v>0</v>
      </c>
      <c r="J41" t="s">
        <v>1200</v>
      </c>
      <c r="K41">
        <v>2.7</v>
      </c>
      <c r="L41">
        <v>1.2</v>
      </c>
      <c r="M41" t="s">
        <v>1168</v>
      </c>
      <c r="N41">
        <v>13</v>
      </c>
      <c r="O41">
        <v>12</v>
      </c>
      <c r="P41">
        <v>6</v>
      </c>
      <c r="Q41">
        <v>2</v>
      </c>
      <c r="R41">
        <v>8</v>
      </c>
      <c r="S41">
        <v>8</v>
      </c>
    </row>
    <row r="42" spans="1:19" x14ac:dyDescent="0.35">
      <c r="A42">
        <v>1.41</v>
      </c>
      <c r="B42" s="26">
        <v>45920</v>
      </c>
      <c r="C42" s="27">
        <v>0.52083333333333337</v>
      </c>
      <c r="D42" t="s">
        <v>642</v>
      </c>
      <c r="E42">
        <v>12</v>
      </c>
      <c r="F42" t="s">
        <v>493</v>
      </c>
      <c r="G42">
        <v>9</v>
      </c>
      <c r="H42">
        <v>2</v>
      </c>
      <c r="I42">
        <v>1</v>
      </c>
      <c r="J42" t="s">
        <v>1200</v>
      </c>
      <c r="K42">
        <v>0.9</v>
      </c>
      <c r="L42">
        <v>0.7</v>
      </c>
      <c r="M42" t="s">
        <v>1174</v>
      </c>
      <c r="N42">
        <v>11</v>
      </c>
      <c r="O42">
        <v>9</v>
      </c>
      <c r="P42">
        <v>3</v>
      </c>
      <c r="Q42">
        <v>2</v>
      </c>
      <c r="R42">
        <v>11</v>
      </c>
      <c r="S42">
        <v>10</v>
      </c>
    </row>
    <row r="43" spans="1:19" x14ac:dyDescent="0.35">
      <c r="A43">
        <v>1.42</v>
      </c>
      <c r="B43" s="26">
        <v>45920</v>
      </c>
      <c r="C43" s="27">
        <v>0.625</v>
      </c>
      <c r="D43" t="s">
        <v>280</v>
      </c>
      <c r="E43">
        <v>5</v>
      </c>
      <c r="F43" t="s">
        <v>952</v>
      </c>
      <c r="G43">
        <v>18</v>
      </c>
      <c r="H43">
        <v>2</v>
      </c>
      <c r="I43">
        <v>2</v>
      </c>
      <c r="J43" t="s">
        <v>1201</v>
      </c>
      <c r="K43">
        <v>1.3</v>
      </c>
      <c r="L43">
        <v>1.2</v>
      </c>
      <c r="M43" t="s">
        <v>1178</v>
      </c>
      <c r="N43">
        <v>12</v>
      </c>
      <c r="O43">
        <v>11</v>
      </c>
      <c r="P43">
        <v>4</v>
      </c>
      <c r="Q43">
        <v>3</v>
      </c>
      <c r="R43">
        <v>10</v>
      </c>
      <c r="S43">
        <v>13</v>
      </c>
    </row>
    <row r="44" spans="1:19" x14ac:dyDescent="0.35">
      <c r="A44">
        <v>1.43</v>
      </c>
      <c r="B44" s="26">
        <v>45920</v>
      </c>
      <c r="C44" s="27">
        <v>0.625</v>
      </c>
      <c r="D44" t="s">
        <v>330</v>
      </c>
      <c r="E44">
        <v>6</v>
      </c>
      <c r="F44" t="s">
        <v>854</v>
      </c>
      <c r="G44">
        <v>16</v>
      </c>
      <c r="H44">
        <v>1</v>
      </c>
      <c r="I44">
        <v>1</v>
      </c>
      <c r="J44" t="s">
        <v>1201</v>
      </c>
      <c r="K44">
        <v>0.9</v>
      </c>
      <c r="L44">
        <v>1.1000000000000001</v>
      </c>
      <c r="M44" t="s">
        <v>1179</v>
      </c>
      <c r="N44">
        <v>12</v>
      </c>
      <c r="O44">
        <v>17</v>
      </c>
      <c r="P44">
        <v>5</v>
      </c>
      <c r="Q44">
        <v>8</v>
      </c>
      <c r="R44">
        <v>12</v>
      </c>
      <c r="S44">
        <v>11</v>
      </c>
    </row>
    <row r="45" spans="1:19" x14ac:dyDescent="0.35">
      <c r="A45">
        <v>1.44</v>
      </c>
      <c r="B45" s="26">
        <v>45920</v>
      </c>
      <c r="C45" s="27">
        <v>0.625</v>
      </c>
      <c r="D45" t="s">
        <v>1132</v>
      </c>
      <c r="E45">
        <v>19</v>
      </c>
      <c r="F45" t="s">
        <v>438</v>
      </c>
      <c r="G45">
        <v>8</v>
      </c>
      <c r="H45">
        <v>1</v>
      </c>
      <c r="I45">
        <v>2</v>
      </c>
      <c r="J45" t="s">
        <v>1202</v>
      </c>
      <c r="K45">
        <v>0.6</v>
      </c>
      <c r="L45">
        <v>2.1</v>
      </c>
      <c r="M45" t="s">
        <v>1180</v>
      </c>
      <c r="N45">
        <v>8</v>
      </c>
      <c r="O45">
        <v>18</v>
      </c>
      <c r="P45">
        <v>3</v>
      </c>
      <c r="Q45">
        <v>3</v>
      </c>
      <c r="R45">
        <v>15</v>
      </c>
      <c r="S45">
        <v>5</v>
      </c>
    </row>
    <row r="46" spans="1:19" x14ac:dyDescent="0.35">
      <c r="A46">
        <v>1.45</v>
      </c>
      <c r="B46" s="26">
        <v>45920</v>
      </c>
      <c r="C46" s="27">
        <v>0.625</v>
      </c>
      <c r="D46" t="s">
        <v>1049</v>
      </c>
      <c r="E46">
        <v>20</v>
      </c>
      <c r="F46" t="s">
        <v>1177</v>
      </c>
      <c r="G46">
        <v>10</v>
      </c>
      <c r="H46">
        <v>1</v>
      </c>
      <c r="I46">
        <v>3</v>
      </c>
      <c r="J46" t="s">
        <v>1202</v>
      </c>
      <c r="K46">
        <v>1.8</v>
      </c>
      <c r="L46">
        <v>0.5</v>
      </c>
      <c r="M46" t="s">
        <v>1168</v>
      </c>
      <c r="N46">
        <v>16</v>
      </c>
      <c r="O46">
        <v>6</v>
      </c>
      <c r="P46">
        <v>6</v>
      </c>
      <c r="Q46">
        <v>4</v>
      </c>
      <c r="R46">
        <v>11</v>
      </c>
      <c r="S46">
        <v>9</v>
      </c>
    </row>
    <row r="47" spans="1:19" x14ac:dyDescent="0.35">
      <c r="A47">
        <v>1.46</v>
      </c>
      <c r="B47" s="26">
        <v>45920</v>
      </c>
      <c r="C47" s="27">
        <v>0.72916666666666663</v>
      </c>
      <c r="D47" t="s">
        <v>749</v>
      </c>
      <c r="E47">
        <v>14</v>
      </c>
      <c r="F47" t="s">
        <v>385</v>
      </c>
      <c r="G47">
        <v>7</v>
      </c>
      <c r="H47">
        <v>2</v>
      </c>
      <c r="I47">
        <v>1</v>
      </c>
      <c r="J47" t="s">
        <v>1200</v>
      </c>
      <c r="K47">
        <v>1.8</v>
      </c>
      <c r="L47">
        <v>0.4</v>
      </c>
      <c r="M47" t="s">
        <v>1175</v>
      </c>
      <c r="N47">
        <v>11</v>
      </c>
      <c r="O47">
        <v>5</v>
      </c>
      <c r="P47">
        <v>4</v>
      </c>
      <c r="Q47">
        <v>1</v>
      </c>
      <c r="R47">
        <v>13</v>
      </c>
      <c r="S47">
        <v>14</v>
      </c>
    </row>
    <row r="48" spans="1:19" x14ac:dyDescent="0.35">
      <c r="A48">
        <v>1.47</v>
      </c>
      <c r="B48" s="26">
        <v>45920</v>
      </c>
      <c r="C48" s="27">
        <v>0.83333333333333337</v>
      </c>
      <c r="D48" t="s">
        <v>543</v>
      </c>
      <c r="E48">
        <v>10</v>
      </c>
      <c r="F48" t="s">
        <v>232</v>
      </c>
      <c r="G48">
        <v>4</v>
      </c>
      <c r="H48">
        <v>3</v>
      </c>
      <c r="I48">
        <v>1</v>
      </c>
      <c r="J48" t="s">
        <v>1200</v>
      </c>
      <c r="K48">
        <v>1</v>
      </c>
      <c r="L48">
        <v>0.6</v>
      </c>
      <c r="M48" t="s">
        <v>1172</v>
      </c>
      <c r="N48">
        <v>14</v>
      </c>
      <c r="O48">
        <v>8</v>
      </c>
      <c r="P48">
        <v>3</v>
      </c>
      <c r="Q48">
        <v>3</v>
      </c>
      <c r="R48">
        <v>11</v>
      </c>
      <c r="S48">
        <v>13</v>
      </c>
    </row>
    <row r="49" spans="1:19" x14ac:dyDescent="0.35">
      <c r="A49">
        <v>1.48</v>
      </c>
      <c r="B49" s="26">
        <v>45921</v>
      </c>
      <c r="C49" s="27">
        <v>0.58333333333333337</v>
      </c>
      <c r="D49" t="s">
        <v>1131</v>
      </c>
      <c r="E49">
        <v>3</v>
      </c>
      <c r="F49" t="s">
        <v>796</v>
      </c>
      <c r="G49">
        <v>15</v>
      </c>
      <c r="H49">
        <v>0</v>
      </c>
      <c r="I49">
        <v>0</v>
      </c>
      <c r="J49" t="s">
        <v>1201</v>
      </c>
      <c r="K49">
        <v>0.5</v>
      </c>
      <c r="L49">
        <v>0.2</v>
      </c>
      <c r="M49" t="s">
        <v>1171</v>
      </c>
      <c r="N49">
        <v>11</v>
      </c>
      <c r="O49">
        <v>4</v>
      </c>
      <c r="P49">
        <v>2</v>
      </c>
      <c r="Q49">
        <v>1</v>
      </c>
      <c r="R49">
        <v>7</v>
      </c>
      <c r="S49">
        <v>10</v>
      </c>
    </row>
    <row r="50" spans="1:19" x14ac:dyDescent="0.35">
      <c r="A50">
        <v>1.49</v>
      </c>
      <c r="B50" s="26">
        <v>45921</v>
      </c>
      <c r="C50" s="27">
        <v>0.58333333333333337</v>
      </c>
      <c r="D50" t="s">
        <v>903</v>
      </c>
      <c r="E50">
        <v>17</v>
      </c>
      <c r="F50" t="s">
        <v>126</v>
      </c>
      <c r="G50">
        <v>2</v>
      </c>
      <c r="H50">
        <v>1</v>
      </c>
      <c r="I50">
        <v>1</v>
      </c>
      <c r="J50" t="s">
        <v>1201</v>
      </c>
      <c r="K50">
        <v>1</v>
      </c>
      <c r="L50">
        <v>0.8</v>
      </c>
      <c r="M50" t="s">
        <v>1170</v>
      </c>
      <c r="N50">
        <v>14</v>
      </c>
      <c r="O50">
        <v>12</v>
      </c>
      <c r="P50">
        <v>4</v>
      </c>
      <c r="Q50">
        <v>2</v>
      </c>
      <c r="R50">
        <v>14</v>
      </c>
      <c r="S50">
        <v>8</v>
      </c>
    </row>
    <row r="51" spans="1:19" x14ac:dyDescent="0.35">
      <c r="A51">
        <v>1.5</v>
      </c>
      <c r="B51" s="26">
        <v>45921</v>
      </c>
      <c r="C51" s="27">
        <v>0.6875</v>
      </c>
      <c r="D51" t="s">
        <v>61</v>
      </c>
      <c r="E51">
        <v>1</v>
      </c>
      <c r="F51" t="s">
        <v>702</v>
      </c>
      <c r="G51">
        <v>13</v>
      </c>
      <c r="H51">
        <v>1</v>
      </c>
      <c r="I51">
        <v>1</v>
      </c>
      <c r="J51" t="s">
        <v>1201</v>
      </c>
      <c r="K51">
        <v>0.9</v>
      </c>
      <c r="L51">
        <v>0.9</v>
      </c>
      <c r="M51" t="s">
        <v>1182</v>
      </c>
      <c r="N51">
        <v>12</v>
      </c>
      <c r="O51">
        <v>5</v>
      </c>
      <c r="P51">
        <v>3</v>
      </c>
      <c r="Q51">
        <v>3</v>
      </c>
      <c r="R51">
        <v>11</v>
      </c>
      <c r="S51">
        <v>10</v>
      </c>
    </row>
    <row r="52" spans="1:19" x14ac:dyDescent="0.35">
      <c r="A52">
        <v>1.51</v>
      </c>
      <c r="B52" s="26">
        <v>45927</v>
      </c>
      <c r="C52" s="27">
        <v>0.52083333333333337</v>
      </c>
      <c r="D52" t="s">
        <v>232</v>
      </c>
      <c r="E52">
        <v>4</v>
      </c>
      <c r="F52" t="s">
        <v>749</v>
      </c>
      <c r="G52">
        <v>14</v>
      </c>
      <c r="H52">
        <v>3</v>
      </c>
      <c r="I52">
        <v>1</v>
      </c>
      <c r="J52" t="s">
        <v>1200</v>
      </c>
      <c r="K52">
        <v>1.9</v>
      </c>
      <c r="L52">
        <v>2.1</v>
      </c>
      <c r="M52" t="s">
        <v>1169</v>
      </c>
      <c r="N52">
        <v>10</v>
      </c>
      <c r="O52">
        <v>14</v>
      </c>
      <c r="P52">
        <v>8</v>
      </c>
      <c r="Q52">
        <v>6</v>
      </c>
      <c r="R52">
        <v>14</v>
      </c>
      <c r="S52">
        <v>10</v>
      </c>
    </row>
    <row r="53" spans="1:19" x14ac:dyDescent="0.35">
      <c r="A53">
        <v>1.52</v>
      </c>
      <c r="B53" s="26">
        <v>45927</v>
      </c>
      <c r="C53" s="27">
        <v>0.625</v>
      </c>
      <c r="D53" t="s">
        <v>385</v>
      </c>
      <c r="E53">
        <v>7</v>
      </c>
      <c r="F53" t="s">
        <v>280</v>
      </c>
      <c r="G53">
        <v>5</v>
      </c>
      <c r="H53">
        <v>1</v>
      </c>
      <c r="I53">
        <v>3</v>
      </c>
      <c r="J53" t="s">
        <v>1202</v>
      </c>
      <c r="K53">
        <v>1.8</v>
      </c>
      <c r="L53">
        <v>2.2999999999999998</v>
      </c>
      <c r="M53" t="s">
        <v>1176</v>
      </c>
      <c r="N53">
        <v>13</v>
      </c>
      <c r="O53">
        <v>12</v>
      </c>
      <c r="P53">
        <v>3</v>
      </c>
      <c r="Q53">
        <v>3</v>
      </c>
      <c r="R53">
        <v>9</v>
      </c>
      <c r="S53">
        <v>16</v>
      </c>
    </row>
    <row r="54" spans="1:19" x14ac:dyDescent="0.35">
      <c r="A54">
        <v>1.53</v>
      </c>
      <c r="B54" s="26">
        <v>45927</v>
      </c>
      <c r="C54" s="27">
        <v>0.625</v>
      </c>
      <c r="D54" t="s">
        <v>438</v>
      </c>
      <c r="E54">
        <v>8</v>
      </c>
      <c r="F54" t="s">
        <v>642</v>
      </c>
      <c r="G54">
        <v>12</v>
      </c>
      <c r="H54">
        <v>2</v>
      </c>
      <c r="I54">
        <v>1</v>
      </c>
      <c r="J54" t="s">
        <v>1200</v>
      </c>
      <c r="K54">
        <v>2.9</v>
      </c>
      <c r="L54">
        <v>2.1</v>
      </c>
      <c r="M54" t="s">
        <v>1178</v>
      </c>
      <c r="N54">
        <v>16</v>
      </c>
      <c r="O54">
        <v>20</v>
      </c>
      <c r="P54">
        <v>7</v>
      </c>
      <c r="Q54">
        <v>4</v>
      </c>
      <c r="R54">
        <v>10</v>
      </c>
      <c r="S54">
        <v>8</v>
      </c>
    </row>
    <row r="55" spans="1:19" x14ac:dyDescent="0.35">
      <c r="A55">
        <v>1.54</v>
      </c>
      <c r="B55" s="26">
        <v>45927</v>
      </c>
      <c r="C55" s="27">
        <v>0.625</v>
      </c>
      <c r="D55" t="s">
        <v>1177</v>
      </c>
      <c r="E55">
        <v>10</v>
      </c>
      <c r="F55" t="s">
        <v>1131</v>
      </c>
      <c r="G55">
        <v>3</v>
      </c>
      <c r="H55">
        <v>2</v>
      </c>
      <c r="I55">
        <v>2</v>
      </c>
      <c r="J55" t="s">
        <v>1201</v>
      </c>
      <c r="K55">
        <v>1.8</v>
      </c>
      <c r="L55">
        <v>0.7</v>
      </c>
      <c r="M55" t="s">
        <v>1172</v>
      </c>
      <c r="N55">
        <v>19</v>
      </c>
      <c r="O55">
        <v>12</v>
      </c>
      <c r="P55">
        <v>8</v>
      </c>
      <c r="Q55">
        <v>5</v>
      </c>
      <c r="R55">
        <v>12</v>
      </c>
      <c r="S55">
        <v>13</v>
      </c>
    </row>
    <row r="56" spans="1:19" x14ac:dyDescent="0.35">
      <c r="A56">
        <v>1.55</v>
      </c>
      <c r="B56" s="26">
        <v>45927</v>
      </c>
      <c r="C56" s="27">
        <v>0.625</v>
      </c>
      <c r="D56" t="s">
        <v>702</v>
      </c>
      <c r="E56">
        <v>13</v>
      </c>
      <c r="F56" t="s">
        <v>330</v>
      </c>
      <c r="G56">
        <v>6</v>
      </c>
      <c r="H56">
        <v>5</v>
      </c>
      <c r="I56">
        <v>1</v>
      </c>
      <c r="J56" t="s">
        <v>1200</v>
      </c>
      <c r="K56">
        <v>2</v>
      </c>
      <c r="L56">
        <v>0.4</v>
      </c>
      <c r="M56" t="s">
        <v>1171</v>
      </c>
      <c r="N56">
        <v>21</v>
      </c>
      <c r="O56">
        <v>9</v>
      </c>
      <c r="P56">
        <v>8</v>
      </c>
      <c r="Q56">
        <v>2</v>
      </c>
      <c r="R56">
        <v>5</v>
      </c>
      <c r="S56">
        <v>7</v>
      </c>
    </row>
    <row r="57" spans="1:19" x14ac:dyDescent="0.35">
      <c r="A57">
        <v>1.56</v>
      </c>
      <c r="B57" s="26">
        <v>45927</v>
      </c>
      <c r="C57" s="27">
        <v>0.72916666666666663</v>
      </c>
      <c r="D57" t="s">
        <v>854</v>
      </c>
      <c r="E57">
        <v>16</v>
      </c>
      <c r="F57" t="s">
        <v>903</v>
      </c>
      <c r="G57">
        <v>17</v>
      </c>
      <c r="H57">
        <v>0</v>
      </c>
      <c r="I57">
        <v>1</v>
      </c>
      <c r="J57" t="s">
        <v>1202</v>
      </c>
      <c r="K57">
        <v>1.6</v>
      </c>
      <c r="L57">
        <v>1.6</v>
      </c>
      <c r="M57" t="s">
        <v>1180</v>
      </c>
      <c r="N57">
        <v>22</v>
      </c>
      <c r="O57">
        <v>11</v>
      </c>
      <c r="P57">
        <v>6</v>
      </c>
      <c r="Q57">
        <v>3</v>
      </c>
      <c r="R57">
        <v>11</v>
      </c>
      <c r="S57">
        <v>6</v>
      </c>
    </row>
    <row r="58" spans="1:19" x14ac:dyDescent="0.35">
      <c r="A58">
        <v>1.57</v>
      </c>
      <c r="B58" s="26">
        <v>45927</v>
      </c>
      <c r="C58" s="27">
        <v>0.83333333333333337</v>
      </c>
      <c r="D58" t="s">
        <v>952</v>
      </c>
      <c r="E58">
        <v>18</v>
      </c>
      <c r="F58" t="s">
        <v>1049</v>
      </c>
      <c r="G58">
        <v>20</v>
      </c>
      <c r="H58">
        <v>1</v>
      </c>
      <c r="I58">
        <v>1</v>
      </c>
      <c r="J58" t="s">
        <v>1201</v>
      </c>
      <c r="K58">
        <v>0.8</v>
      </c>
      <c r="L58">
        <v>1.1000000000000001</v>
      </c>
      <c r="M58" t="s">
        <v>1181</v>
      </c>
      <c r="N58">
        <v>10</v>
      </c>
      <c r="O58">
        <v>9</v>
      </c>
      <c r="P58">
        <v>3</v>
      </c>
      <c r="Q58">
        <v>3</v>
      </c>
      <c r="R58">
        <v>9</v>
      </c>
      <c r="S58">
        <v>11</v>
      </c>
    </row>
    <row r="59" spans="1:19" x14ac:dyDescent="0.35">
      <c r="A59">
        <v>1.58</v>
      </c>
      <c r="B59" s="26">
        <v>45928</v>
      </c>
      <c r="C59" s="27">
        <v>0.58333333333333337</v>
      </c>
      <c r="D59" t="s">
        <v>126</v>
      </c>
      <c r="E59">
        <v>2</v>
      </c>
      <c r="F59" t="s">
        <v>543</v>
      </c>
      <c r="G59">
        <v>10</v>
      </c>
      <c r="H59">
        <v>3</v>
      </c>
      <c r="I59">
        <v>1</v>
      </c>
      <c r="J59" t="s">
        <v>1200</v>
      </c>
      <c r="K59">
        <v>1.1000000000000001</v>
      </c>
      <c r="L59">
        <v>1.1000000000000001</v>
      </c>
      <c r="M59" t="s">
        <v>1183</v>
      </c>
      <c r="N59">
        <v>9</v>
      </c>
      <c r="O59">
        <v>11</v>
      </c>
      <c r="P59">
        <v>4</v>
      </c>
      <c r="Q59">
        <v>4</v>
      </c>
      <c r="R59">
        <v>10</v>
      </c>
      <c r="S59">
        <v>13</v>
      </c>
    </row>
    <row r="60" spans="1:19" x14ac:dyDescent="0.35">
      <c r="A60">
        <v>1.59</v>
      </c>
      <c r="B60" s="26">
        <v>45928</v>
      </c>
      <c r="C60" s="27">
        <v>0.6875</v>
      </c>
      <c r="D60" t="s">
        <v>796</v>
      </c>
      <c r="E60">
        <v>15</v>
      </c>
      <c r="F60" t="s">
        <v>61</v>
      </c>
      <c r="G60">
        <v>1</v>
      </c>
      <c r="H60">
        <v>1</v>
      </c>
      <c r="I60">
        <v>2</v>
      </c>
      <c r="J60" t="s">
        <v>1202</v>
      </c>
      <c r="K60">
        <v>0.6</v>
      </c>
      <c r="L60">
        <v>2</v>
      </c>
      <c r="M60" t="s">
        <v>1173</v>
      </c>
      <c r="N60">
        <v>8</v>
      </c>
      <c r="O60">
        <v>20</v>
      </c>
      <c r="P60">
        <v>3</v>
      </c>
      <c r="Q60">
        <v>7</v>
      </c>
      <c r="R60">
        <v>8</v>
      </c>
      <c r="S60">
        <v>9</v>
      </c>
    </row>
    <row r="61" spans="1:19" x14ac:dyDescent="0.35">
      <c r="A61">
        <v>1.6</v>
      </c>
      <c r="B61" s="26">
        <v>45929</v>
      </c>
      <c r="C61" s="27">
        <v>0.83333333333333337</v>
      </c>
      <c r="D61" t="s">
        <v>493</v>
      </c>
      <c r="E61">
        <v>9</v>
      </c>
      <c r="F61" t="s">
        <v>1132</v>
      </c>
      <c r="G61">
        <v>19</v>
      </c>
      <c r="H61">
        <v>1</v>
      </c>
      <c r="I61">
        <v>1</v>
      </c>
      <c r="J61" t="s">
        <v>1201</v>
      </c>
      <c r="K61">
        <v>0.7</v>
      </c>
      <c r="L61">
        <v>1.2</v>
      </c>
      <c r="M61" t="s">
        <v>1170</v>
      </c>
      <c r="N61">
        <v>12</v>
      </c>
      <c r="O61">
        <v>14</v>
      </c>
      <c r="P61">
        <v>6</v>
      </c>
      <c r="Q61">
        <v>3</v>
      </c>
      <c r="R61">
        <v>7</v>
      </c>
      <c r="S61">
        <v>16</v>
      </c>
    </row>
    <row r="62" spans="1:19" x14ac:dyDescent="0.35">
      <c r="A62">
        <v>1.61</v>
      </c>
      <c r="B62" s="26">
        <v>45933</v>
      </c>
      <c r="C62" s="27">
        <v>0.83333333333333337</v>
      </c>
      <c r="D62" t="s">
        <v>1131</v>
      </c>
      <c r="E62">
        <v>3</v>
      </c>
      <c r="F62" t="s">
        <v>543</v>
      </c>
      <c r="G62">
        <v>10</v>
      </c>
      <c r="H62">
        <v>3</v>
      </c>
      <c r="I62">
        <v>1</v>
      </c>
      <c r="J62" t="s">
        <v>1200</v>
      </c>
      <c r="K62">
        <v>1.2</v>
      </c>
      <c r="L62">
        <v>0.9</v>
      </c>
      <c r="M62" t="s">
        <v>1176</v>
      </c>
      <c r="N62">
        <v>11</v>
      </c>
      <c r="O62">
        <v>12</v>
      </c>
      <c r="P62">
        <v>6</v>
      </c>
      <c r="Q62">
        <v>4</v>
      </c>
      <c r="R62">
        <v>8</v>
      </c>
      <c r="S62">
        <v>10</v>
      </c>
    </row>
    <row r="63" spans="1:19" x14ac:dyDescent="0.35">
      <c r="A63">
        <v>1.62</v>
      </c>
      <c r="B63" s="26">
        <v>45934</v>
      </c>
      <c r="C63" s="27">
        <v>0.52083333333333337</v>
      </c>
      <c r="D63" t="s">
        <v>1177</v>
      </c>
      <c r="E63">
        <v>10</v>
      </c>
      <c r="F63" t="s">
        <v>952</v>
      </c>
      <c r="G63">
        <v>18</v>
      </c>
      <c r="H63">
        <v>1</v>
      </c>
      <c r="I63">
        <v>2</v>
      </c>
      <c r="J63" t="s">
        <v>1202</v>
      </c>
      <c r="K63">
        <v>1.7</v>
      </c>
      <c r="L63">
        <v>0.6</v>
      </c>
      <c r="M63" t="s">
        <v>1179</v>
      </c>
      <c r="N63">
        <v>16</v>
      </c>
      <c r="O63">
        <v>9</v>
      </c>
      <c r="P63">
        <v>4</v>
      </c>
      <c r="Q63">
        <v>3</v>
      </c>
      <c r="R63">
        <v>10</v>
      </c>
      <c r="S63">
        <v>12</v>
      </c>
    </row>
    <row r="64" spans="1:19" x14ac:dyDescent="0.35">
      <c r="A64">
        <v>1.63</v>
      </c>
      <c r="B64" s="26">
        <v>45934</v>
      </c>
      <c r="C64" s="27">
        <v>0.625</v>
      </c>
      <c r="D64" t="s">
        <v>61</v>
      </c>
      <c r="E64">
        <v>1</v>
      </c>
      <c r="F64" t="s">
        <v>1132</v>
      </c>
      <c r="G64">
        <v>19</v>
      </c>
      <c r="H64">
        <v>2</v>
      </c>
      <c r="I64">
        <v>0</v>
      </c>
      <c r="J64" t="s">
        <v>1200</v>
      </c>
      <c r="K64">
        <v>2.8</v>
      </c>
      <c r="L64">
        <v>0.4</v>
      </c>
      <c r="M64" t="s">
        <v>1184</v>
      </c>
      <c r="N64">
        <v>21</v>
      </c>
      <c r="O64">
        <v>4</v>
      </c>
      <c r="P64">
        <v>5</v>
      </c>
      <c r="Q64">
        <v>0</v>
      </c>
      <c r="R64">
        <v>14</v>
      </c>
      <c r="S64">
        <v>14</v>
      </c>
    </row>
    <row r="65" spans="1:19" x14ac:dyDescent="0.35">
      <c r="A65">
        <v>1.64</v>
      </c>
      <c r="B65" s="26">
        <v>45934</v>
      </c>
      <c r="C65" s="27">
        <v>0.625</v>
      </c>
      <c r="D65" t="s">
        <v>749</v>
      </c>
      <c r="E65">
        <v>14</v>
      </c>
      <c r="F65" t="s">
        <v>903</v>
      </c>
      <c r="G65">
        <v>17</v>
      </c>
      <c r="H65">
        <v>2</v>
      </c>
      <c r="I65">
        <v>0</v>
      </c>
      <c r="J65" t="s">
        <v>1200</v>
      </c>
      <c r="K65">
        <v>1.8</v>
      </c>
      <c r="L65">
        <v>0.7</v>
      </c>
      <c r="M65" t="s">
        <v>1182</v>
      </c>
      <c r="N65">
        <v>15</v>
      </c>
      <c r="O65">
        <v>8</v>
      </c>
      <c r="P65">
        <v>6</v>
      </c>
      <c r="Q65">
        <v>3</v>
      </c>
      <c r="R65">
        <v>10</v>
      </c>
      <c r="S65">
        <v>12</v>
      </c>
    </row>
    <row r="66" spans="1:19" x14ac:dyDescent="0.35">
      <c r="A66">
        <v>1.65</v>
      </c>
      <c r="B66" s="26">
        <v>45934</v>
      </c>
      <c r="C66" s="27">
        <v>0.72916666666666663</v>
      </c>
      <c r="D66" t="s">
        <v>385</v>
      </c>
      <c r="E66">
        <v>7</v>
      </c>
      <c r="F66" t="s">
        <v>642</v>
      </c>
      <c r="G66">
        <v>12</v>
      </c>
      <c r="H66">
        <v>2</v>
      </c>
      <c r="I66">
        <v>1</v>
      </c>
      <c r="J66" t="s">
        <v>1200</v>
      </c>
      <c r="K66">
        <v>1</v>
      </c>
      <c r="L66">
        <v>1.9</v>
      </c>
      <c r="M66" t="s">
        <v>1168</v>
      </c>
      <c r="N66">
        <v>12</v>
      </c>
      <c r="O66">
        <v>12</v>
      </c>
      <c r="P66">
        <v>6</v>
      </c>
      <c r="Q66">
        <v>2</v>
      </c>
      <c r="R66">
        <v>9</v>
      </c>
      <c r="S66">
        <v>8</v>
      </c>
    </row>
    <row r="67" spans="1:19" x14ac:dyDescent="0.35">
      <c r="A67">
        <v>1.66</v>
      </c>
      <c r="B67" s="26">
        <v>45935</v>
      </c>
      <c r="C67" s="27">
        <v>0.58333333333333337</v>
      </c>
      <c r="D67" t="s">
        <v>126</v>
      </c>
      <c r="E67">
        <v>2</v>
      </c>
      <c r="F67" t="s">
        <v>330</v>
      </c>
      <c r="G67">
        <v>6</v>
      </c>
      <c r="H67">
        <v>2</v>
      </c>
      <c r="I67">
        <v>1</v>
      </c>
      <c r="J67" t="s">
        <v>1200</v>
      </c>
      <c r="K67">
        <v>1.1000000000000001</v>
      </c>
      <c r="L67">
        <v>0.4</v>
      </c>
      <c r="M67" t="s">
        <v>1185</v>
      </c>
      <c r="N67">
        <v>15</v>
      </c>
      <c r="O67">
        <v>5</v>
      </c>
      <c r="P67">
        <v>7</v>
      </c>
      <c r="Q67">
        <v>2</v>
      </c>
      <c r="R67">
        <v>9</v>
      </c>
      <c r="S67">
        <v>15</v>
      </c>
    </row>
    <row r="68" spans="1:19" x14ac:dyDescent="0.35">
      <c r="A68">
        <v>1.67</v>
      </c>
      <c r="B68" s="26">
        <v>45935</v>
      </c>
      <c r="C68" s="27">
        <v>0.58333333333333337</v>
      </c>
      <c r="D68" t="s">
        <v>493</v>
      </c>
      <c r="E68">
        <v>9</v>
      </c>
      <c r="F68" t="s">
        <v>438</v>
      </c>
      <c r="G68">
        <v>8</v>
      </c>
      <c r="H68">
        <v>2</v>
      </c>
      <c r="I68">
        <v>1</v>
      </c>
      <c r="J68" t="s">
        <v>1200</v>
      </c>
      <c r="K68">
        <v>2</v>
      </c>
      <c r="L68">
        <v>1.5</v>
      </c>
      <c r="M68" t="s">
        <v>1181</v>
      </c>
      <c r="N68">
        <v>14</v>
      </c>
      <c r="O68">
        <v>15</v>
      </c>
      <c r="P68">
        <v>7</v>
      </c>
      <c r="Q68">
        <v>8</v>
      </c>
      <c r="R68">
        <v>13</v>
      </c>
      <c r="S68">
        <v>16</v>
      </c>
    </row>
    <row r="69" spans="1:19" x14ac:dyDescent="0.35">
      <c r="A69">
        <v>1.68</v>
      </c>
      <c r="B69" s="26">
        <v>45935</v>
      </c>
      <c r="C69" s="27">
        <v>0.58333333333333337</v>
      </c>
      <c r="D69" t="s">
        <v>796</v>
      </c>
      <c r="E69">
        <v>15</v>
      </c>
      <c r="F69" t="s">
        <v>854</v>
      </c>
      <c r="G69">
        <v>16</v>
      </c>
      <c r="H69">
        <v>2</v>
      </c>
      <c r="I69">
        <v>0</v>
      </c>
      <c r="J69" t="s">
        <v>1200</v>
      </c>
      <c r="K69">
        <v>3.2</v>
      </c>
      <c r="L69">
        <v>0.2</v>
      </c>
      <c r="M69" t="s">
        <v>1175</v>
      </c>
      <c r="N69">
        <v>18</v>
      </c>
      <c r="O69">
        <v>5</v>
      </c>
      <c r="P69">
        <v>9</v>
      </c>
      <c r="Q69">
        <v>4</v>
      </c>
      <c r="R69">
        <v>16</v>
      </c>
      <c r="S69">
        <v>15</v>
      </c>
    </row>
    <row r="70" spans="1:19" x14ac:dyDescent="0.35">
      <c r="A70">
        <v>1.69</v>
      </c>
      <c r="B70" s="26">
        <v>45935</v>
      </c>
      <c r="C70" s="27">
        <v>0.58333333333333337</v>
      </c>
      <c r="D70" t="s">
        <v>1049</v>
      </c>
      <c r="E70">
        <v>20</v>
      </c>
      <c r="F70" t="s">
        <v>280</v>
      </c>
      <c r="G70">
        <v>5</v>
      </c>
      <c r="H70">
        <v>1</v>
      </c>
      <c r="I70">
        <v>1</v>
      </c>
      <c r="J70" t="s">
        <v>1201</v>
      </c>
      <c r="K70">
        <v>0.6</v>
      </c>
      <c r="L70">
        <v>0.9</v>
      </c>
      <c r="M70" t="s">
        <v>1173</v>
      </c>
      <c r="N70">
        <v>6</v>
      </c>
      <c r="O70">
        <v>17</v>
      </c>
      <c r="P70">
        <v>3</v>
      </c>
      <c r="Q70">
        <v>6</v>
      </c>
      <c r="R70">
        <v>13</v>
      </c>
      <c r="S70">
        <v>9</v>
      </c>
    </row>
    <row r="71" spans="1:19" x14ac:dyDescent="0.35">
      <c r="A71">
        <v>1.7</v>
      </c>
      <c r="B71" s="26">
        <v>45935</v>
      </c>
      <c r="C71" s="27">
        <v>0.6875</v>
      </c>
      <c r="D71" t="s">
        <v>232</v>
      </c>
      <c r="E71">
        <v>4</v>
      </c>
      <c r="F71" t="s">
        <v>702</v>
      </c>
      <c r="G71">
        <v>13</v>
      </c>
      <c r="H71">
        <v>0</v>
      </c>
      <c r="I71">
        <v>1</v>
      </c>
      <c r="J71" t="s">
        <v>1202</v>
      </c>
      <c r="K71">
        <v>0.7</v>
      </c>
      <c r="L71">
        <v>0.8</v>
      </c>
      <c r="M71" t="s">
        <v>1174</v>
      </c>
      <c r="N71">
        <v>6</v>
      </c>
      <c r="O71">
        <v>10</v>
      </c>
      <c r="P71">
        <v>1</v>
      </c>
      <c r="Q71">
        <v>4</v>
      </c>
      <c r="R71">
        <v>10</v>
      </c>
      <c r="S71">
        <v>6</v>
      </c>
    </row>
    <row r="72" spans="1:19" x14ac:dyDescent="0.35">
      <c r="A72">
        <v>1.71</v>
      </c>
      <c r="B72" s="26">
        <v>45948</v>
      </c>
      <c r="C72" s="27">
        <v>0.52083333333333337</v>
      </c>
      <c r="D72" t="s">
        <v>854</v>
      </c>
      <c r="E72">
        <v>16</v>
      </c>
      <c r="F72" t="s">
        <v>385</v>
      </c>
      <c r="G72">
        <v>7</v>
      </c>
      <c r="H72">
        <v>0</v>
      </c>
      <c r="I72">
        <v>3</v>
      </c>
      <c r="J72" t="s">
        <v>1202</v>
      </c>
      <c r="K72">
        <v>2.35</v>
      </c>
      <c r="L72">
        <v>1.67</v>
      </c>
      <c r="M72" t="s">
        <v>1178</v>
      </c>
      <c r="N72">
        <v>12</v>
      </c>
      <c r="O72">
        <v>17</v>
      </c>
      <c r="P72">
        <v>2</v>
      </c>
      <c r="Q72">
        <v>6</v>
      </c>
      <c r="R72">
        <v>13</v>
      </c>
      <c r="S72">
        <v>16</v>
      </c>
    </row>
    <row r="73" spans="1:19" x14ac:dyDescent="0.35">
      <c r="A73">
        <v>1.72</v>
      </c>
      <c r="B73" s="26">
        <v>45948</v>
      </c>
      <c r="C73" s="27">
        <v>0.625</v>
      </c>
      <c r="D73" t="s">
        <v>280</v>
      </c>
      <c r="E73">
        <v>5</v>
      </c>
      <c r="F73" t="s">
        <v>1186</v>
      </c>
      <c r="G73">
        <v>14</v>
      </c>
      <c r="H73">
        <v>2</v>
      </c>
      <c r="I73">
        <v>1</v>
      </c>
      <c r="J73" t="s">
        <v>1200</v>
      </c>
      <c r="K73">
        <v>0.91</v>
      </c>
      <c r="L73">
        <v>1.45</v>
      </c>
      <c r="M73" t="s">
        <v>1169</v>
      </c>
      <c r="N73">
        <v>13</v>
      </c>
      <c r="O73">
        <v>16</v>
      </c>
      <c r="P73">
        <v>5</v>
      </c>
      <c r="Q73">
        <v>3</v>
      </c>
      <c r="R73">
        <v>9</v>
      </c>
      <c r="S73">
        <v>9</v>
      </c>
    </row>
    <row r="74" spans="1:19" x14ac:dyDescent="0.35">
      <c r="A74">
        <v>1.73</v>
      </c>
      <c r="B74" s="26">
        <v>45948</v>
      </c>
      <c r="C74" s="27">
        <v>0.625</v>
      </c>
      <c r="D74" t="s">
        <v>330</v>
      </c>
      <c r="E74">
        <v>6</v>
      </c>
      <c r="F74" t="s">
        <v>1177</v>
      </c>
      <c r="G74">
        <v>10</v>
      </c>
      <c r="H74">
        <v>2</v>
      </c>
      <c r="I74">
        <v>0</v>
      </c>
      <c r="J74" t="s">
        <v>1200</v>
      </c>
      <c r="K74">
        <v>0.45</v>
      </c>
      <c r="L74">
        <v>2.63</v>
      </c>
      <c r="M74" t="s">
        <v>1187</v>
      </c>
      <c r="N74">
        <v>4</v>
      </c>
      <c r="O74">
        <v>19</v>
      </c>
      <c r="P74">
        <v>3</v>
      </c>
      <c r="Q74">
        <v>4</v>
      </c>
      <c r="R74">
        <v>10</v>
      </c>
      <c r="S74">
        <v>7</v>
      </c>
    </row>
    <row r="75" spans="1:19" x14ac:dyDescent="0.35">
      <c r="A75">
        <v>1.74</v>
      </c>
      <c r="B75" s="26">
        <v>45948</v>
      </c>
      <c r="C75" s="27">
        <v>0.625</v>
      </c>
      <c r="D75" t="s">
        <v>438</v>
      </c>
      <c r="E75">
        <v>8</v>
      </c>
      <c r="F75" t="s">
        <v>1131</v>
      </c>
      <c r="G75">
        <v>3</v>
      </c>
      <c r="H75">
        <v>3</v>
      </c>
      <c r="I75">
        <v>3</v>
      </c>
      <c r="J75" t="s">
        <v>1201</v>
      </c>
      <c r="K75">
        <v>4.4400000000000004</v>
      </c>
      <c r="L75">
        <v>2.0299999999999998</v>
      </c>
      <c r="M75" t="s">
        <v>1173</v>
      </c>
      <c r="N75">
        <v>20</v>
      </c>
      <c r="O75">
        <v>8</v>
      </c>
      <c r="P75">
        <v>7</v>
      </c>
      <c r="Q75">
        <v>5</v>
      </c>
      <c r="R75">
        <v>8</v>
      </c>
      <c r="S75">
        <v>16</v>
      </c>
    </row>
    <row r="76" spans="1:19" x14ac:dyDescent="0.35">
      <c r="A76">
        <v>1.75</v>
      </c>
      <c r="B76" s="26">
        <v>45948</v>
      </c>
      <c r="C76" s="27">
        <v>0.625</v>
      </c>
      <c r="D76" t="s">
        <v>702</v>
      </c>
      <c r="E76">
        <v>12</v>
      </c>
      <c r="F76" t="s">
        <v>493</v>
      </c>
      <c r="G76">
        <v>9</v>
      </c>
      <c r="H76">
        <v>2</v>
      </c>
      <c r="I76">
        <v>0</v>
      </c>
      <c r="J76" t="s">
        <v>1200</v>
      </c>
      <c r="K76">
        <v>2.38</v>
      </c>
      <c r="L76">
        <v>0.81</v>
      </c>
      <c r="M76" t="s">
        <v>1180</v>
      </c>
      <c r="N76">
        <v>19</v>
      </c>
      <c r="O76">
        <v>5</v>
      </c>
      <c r="P76">
        <v>7</v>
      </c>
      <c r="Q76">
        <v>1</v>
      </c>
      <c r="R76">
        <v>8</v>
      </c>
      <c r="S76">
        <v>14</v>
      </c>
    </row>
    <row r="77" spans="1:19" x14ac:dyDescent="0.35">
      <c r="A77">
        <v>1.76</v>
      </c>
      <c r="B77" s="26">
        <v>45948</v>
      </c>
      <c r="C77" s="27">
        <v>0.625</v>
      </c>
      <c r="D77" t="s">
        <v>903</v>
      </c>
      <c r="E77">
        <v>17</v>
      </c>
      <c r="F77" t="s">
        <v>1049</v>
      </c>
      <c r="G77">
        <v>20</v>
      </c>
      <c r="H77">
        <v>2</v>
      </c>
      <c r="I77">
        <v>0</v>
      </c>
      <c r="J77" t="s">
        <v>1200</v>
      </c>
      <c r="K77">
        <v>0.65</v>
      </c>
      <c r="L77">
        <v>0.83</v>
      </c>
      <c r="M77" t="s">
        <v>1171</v>
      </c>
      <c r="N77">
        <v>8</v>
      </c>
      <c r="O77">
        <v>16</v>
      </c>
      <c r="P77">
        <v>2</v>
      </c>
      <c r="Q77">
        <v>3</v>
      </c>
      <c r="R77">
        <v>5</v>
      </c>
      <c r="S77">
        <v>12</v>
      </c>
    </row>
    <row r="78" spans="1:19" x14ac:dyDescent="0.35">
      <c r="A78">
        <v>1.77</v>
      </c>
      <c r="B78" s="26">
        <v>45948</v>
      </c>
      <c r="C78" s="27">
        <v>0.72916666666666663</v>
      </c>
      <c r="D78" t="s">
        <v>543</v>
      </c>
      <c r="E78">
        <v>10</v>
      </c>
      <c r="F78" t="s">
        <v>61</v>
      </c>
      <c r="G78">
        <v>1</v>
      </c>
      <c r="H78">
        <v>0</v>
      </c>
      <c r="I78">
        <v>1</v>
      </c>
      <c r="J78" t="s">
        <v>1202</v>
      </c>
      <c r="K78">
        <v>0.44</v>
      </c>
      <c r="L78">
        <v>1.87</v>
      </c>
      <c r="M78" t="s">
        <v>1168</v>
      </c>
      <c r="N78">
        <v>9</v>
      </c>
      <c r="O78">
        <v>16</v>
      </c>
      <c r="P78">
        <v>0</v>
      </c>
      <c r="Q78">
        <v>5</v>
      </c>
      <c r="R78">
        <v>11</v>
      </c>
      <c r="S78">
        <v>4</v>
      </c>
    </row>
    <row r="79" spans="1:19" x14ac:dyDescent="0.35">
      <c r="A79">
        <v>1.78</v>
      </c>
      <c r="B79" s="26">
        <v>45949</v>
      </c>
      <c r="C79" s="27">
        <v>0.58333333333333337</v>
      </c>
      <c r="D79" t="s">
        <v>952</v>
      </c>
      <c r="E79">
        <v>18</v>
      </c>
      <c r="F79" t="s">
        <v>126</v>
      </c>
      <c r="G79">
        <v>2</v>
      </c>
      <c r="H79">
        <v>1</v>
      </c>
      <c r="I79">
        <v>2</v>
      </c>
      <c r="J79" t="s">
        <v>1202</v>
      </c>
      <c r="K79">
        <v>0.75</v>
      </c>
      <c r="L79">
        <v>0.32</v>
      </c>
      <c r="M79" t="s">
        <v>1176</v>
      </c>
      <c r="N79">
        <v>9</v>
      </c>
      <c r="O79">
        <v>8</v>
      </c>
      <c r="P79">
        <v>3</v>
      </c>
      <c r="Q79">
        <v>2</v>
      </c>
      <c r="R79">
        <v>11</v>
      </c>
      <c r="S79">
        <v>7</v>
      </c>
    </row>
    <row r="80" spans="1:19" x14ac:dyDescent="0.35">
      <c r="A80">
        <v>1.79</v>
      </c>
      <c r="B80" s="26">
        <v>45949</v>
      </c>
      <c r="C80" s="27">
        <v>0.6875</v>
      </c>
      <c r="D80" t="s">
        <v>642</v>
      </c>
      <c r="E80">
        <v>12</v>
      </c>
      <c r="F80" t="s">
        <v>1188</v>
      </c>
      <c r="G80">
        <v>12</v>
      </c>
      <c r="H80">
        <v>1</v>
      </c>
      <c r="I80">
        <v>2</v>
      </c>
      <c r="J80" t="s">
        <v>1202</v>
      </c>
      <c r="K80">
        <v>2.75</v>
      </c>
      <c r="L80">
        <v>1.34</v>
      </c>
      <c r="M80" t="s">
        <v>1172</v>
      </c>
      <c r="N80">
        <v>19</v>
      </c>
      <c r="O80">
        <v>12</v>
      </c>
      <c r="P80">
        <v>6</v>
      </c>
      <c r="Q80">
        <v>4</v>
      </c>
      <c r="R80">
        <v>8</v>
      </c>
      <c r="S80">
        <v>14</v>
      </c>
    </row>
    <row r="81" spans="1:19" x14ac:dyDescent="0.35">
      <c r="A81">
        <v>1.8</v>
      </c>
      <c r="B81" s="26">
        <v>45950</v>
      </c>
      <c r="C81" s="27">
        <v>0.83333333333333337</v>
      </c>
      <c r="D81" t="s">
        <v>1132</v>
      </c>
      <c r="E81">
        <v>19</v>
      </c>
      <c r="F81" t="s">
        <v>232</v>
      </c>
      <c r="G81">
        <v>4</v>
      </c>
      <c r="H81">
        <v>0</v>
      </c>
      <c r="I81">
        <v>2</v>
      </c>
      <c r="J81" t="s">
        <v>1202</v>
      </c>
      <c r="K81">
        <v>0.35</v>
      </c>
      <c r="L81">
        <v>2.37</v>
      </c>
      <c r="M81" t="s">
        <v>1183</v>
      </c>
      <c r="N81">
        <v>7</v>
      </c>
      <c r="O81">
        <v>22</v>
      </c>
      <c r="P81">
        <v>1</v>
      </c>
      <c r="Q81">
        <v>7</v>
      </c>
      <c r="R81">
        <v>10</v>
      </c>
      <c r="S81">
        <v>10</v>
      </c>
    </row>
  </sheetData>
  <conditionalFormatting sqref="P2:P81">
    <cfRule type="expression" dxfId="6" priority="1">
      <formula>P2&gt;Q2</formula>
    </cfRule>
    <cfRule type="expression" dxfId="5" priority="2">
      <formula>P2&lt;Q2</formula>
    </cfRule>
    <cfRule type="expression" dxfId="4" priority="3">
      <formula>P2&gt;Q2</formula>
    </cfRule>
  </conditionalFormatting>
  <conditionalFormatting sqref="Q2">
    <cfRule type="cellIs" dxfId="3" priority="7" operator="lessThan">
      <formula>$Q$2</formula>
    </cfRule>
  </conditionalFormatting>
  <conditionalFormatting sqref="Q2:Q81">
    <cfRule type="expression" dxfId="2" priority="4">
      <formula>Q2&lt;P2</formula>
    </cfRule>
    <cfRule type="expression" dxfId="1" priority="5">
      <formula>Q2&gt;P2</formula>
    </cfRule>
    <cfRule type="expression" dxfId="0" priority="6">
      <formula>Q2&lt;P2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Player details</vt:lpstr>
      <vt:lpstr>Teams</vt:lpstr>
      <vt:lpstr>Player performances</vt:lpstr>
      <vt:lpstr>Team performances</vt:lpstr>
      <vt:lpstr>Gameweek positions</vt:lpstr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jahnavi reddy</dc:creator>
  <cp:lastModifiedBy>jahnavi reddy</cp:lastModifiedBy>
  <dcterms:created xsi:type="dcterms:W3CDTF">2025-10-08T16:33:20Z</dcterms:created>
  <dcterms:modified xsi:type="dcterms:W3CDTF">2025-10-25T21:14:28Z</dcterms:modified>
</cp:coreProperties>
</file>